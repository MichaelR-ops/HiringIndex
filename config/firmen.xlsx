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nweis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0"/>
      <sz val="12"/>
    </font>
    <font>
      <name val="Calibri"/>
      <charset val="1"/>
      <family val="2"/>
      <color theme="10"/>
      <sz val="11"/>
      <u val="single"/>
    </font>
    <font>
      <name val="Calibri"/>
      <charset val="1"/>
      <family val="0"/>
      <sz val="11"/>
    </font>
    <font>
      <name val="Calibri"/>
      <charset val="1"/>
      <family val="0"/>
      <b val="1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rgb="FF000080"/>
      </patternFill>
    </fill>
  </fills>
  <borders count="10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thin"/>
      <right style="thin"/>
      <top style="medium"/>
      <bottom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medium"/>
      <right/>
      <top/>
      <bottom style="medium"/>
      <diagonal/>
    </border>
    <border>
      <left style="thin"/>
      <right style="thin"/>
      <top/>
      <bottom style="medium"/>
      <diagonal/>
    </border>
    <border>
      <left/>
      <right/>
      <top/>
      <bottom style="medium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3" fontId="0" fillId="0" borderId="5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6" applyAlignment="1" pivotButton="0" quotePrefix="0" xfId="20">
      <alignment horizontal="general" vertical="bottom"/>
    </xf>
    <xf numFmtId="3" fontId="0" fillId="0" borderId="6" applyAlignment="1" pivotButton="0" quotePrefix="0" xfId="0">
      <alignment horizontal="general" vertical="bottom"/>
    </xf>
    <xf numFmtId="3" fontId="5" fillId="0" borderId="6" applyAlignment="1" pivotButton="0" quotePrefix="0" xfId="20">
      <alignment horizontal="general" vertical="bottom"/>
    </xf>
    <xf numFmtId="0" fontId="5" fillId="0" borderId="6" applyAlignment="1" pivotButton="0" quotePrefix="0" xfId="20">
      <alignment horizontal="general" vertical="center"/>
    </xf>
    <xf numFmtId="0" fontId="0" fillId="0" borderId="7" applyAlignment="1" pivotButton="0" quotePrefix="0" xfId="0">
      <alignment horizontal="general" vertical="bottom"/>
    </xf>
    <xf numFmtId="3" fontId="0" fillId="0" borderId="8" applyAlignment="1" pivotButton="0" quotePrefix="0" xfId="0">
      <alignment horizontal="general" vertical="bottom"/>
    </xf>
    <xf numFmtId="3" fontId="0" fillId="0" borderId="9" applyAlignment="1" pivotButton="0" quotePrefix="0" xfId="0">
      <alignment horizontal="general" vertical="bottom"/>
    </xf>
    <xf numFmtId="0" fontId="5" fillId="0" borderId="8" applyAlignment="1" pivotButton="0" quotePrefix="0" xfId="20">
      <alignment horizontal="general" vertical="bottom"/>
    </xf>
    <xf numFmtId="0" fontId="5" fillId="0" borderId="8" applyAlignment="1" pivotButton="0" quotePrefix="0" xfId="2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3" fontId="0" fillId="0" borderId="5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6" applyAlignment="1" pivotButton="0" quotePrefix="0" xfId="20">
      <alignment horizontal="general" vertical="bottom"/>
    </xf>
    <xf numFmtId="3" fontId="0" fillId="0" borderId="6" applyAlignment="1" pivotButton="0" quotePrefix="0" xfId="0">
      <alignment horizontal="general" vertical="bottom"/>
    </xf>
    <xf numFmtId="3" fontId="5" fillId="0" borderId="6" applyAlignment="1" pivotButton="0" quotePrefix="0" xfId="20">
      <alignment horizontal="general" vertical="bottom"/>
    </xf>
    <xf numFmtId="0" fontId="5" fillId="0" borderId="6" applyAlignment="1" pivotButton="0" quotePrefix="0" xfId="20">
      <alignment horizontal="general" vertical="center"/>
    </xf>
    <xf numFmtId="0" fontId="0" fillId="0" borderId="7" applyAlignment="1" pivotButton="0" quotePrefix="0" xfId="0">
      <alignment horizontal="general" vertical="bottom"/>
    </xf>
    <xf numFmtId="3" fontId="0" fillId="0" borderId="8" applyAlignment="1" pivotButton="0" quotePrefix="0" xfId="0">
      <alignment horizontal="general" vertical="bottom"/>
    </xf>
    <xf numFmtId="3" fontId="0" fillId="0" borderId="9" applyAlignment="1" pivotButton="0" quotePrefix="0" xfId="0">
      <alignment horizontal="general" vertical="bottom"/>
    </xf>
    <xf numFmtId="0" fontId="5" fillId="0" borderId="8" applyAlignment="1" pivotButton="0" quotePrefix="0" xfId="20">
      <alignment horizontal="general" vertical="bottom"/>
    </xf>
    <xf numFmtId="0" fontId="5" fillId="0" borderId="8" applyAlignment="1" pivotButton="0" quotePrefix="0" xfId="2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pepperlfuchs.wd103.myworkdayjobs.com/de-DE/PepperlFuchs" TargetMode="External" Id="rId1"/><Relationship Type="http://schemas.openxmlformats.org/officeDocument/2006/relationships/hyperlink" Target="https://pepperlfuchs.wd103.myworkdayjobs.com/wday/cxs/pepperlfuchs/PepperlFuchs/jobs" TargetMode="External" Id="rId2"/><Relationship Type="http://schemas.openxmlformats.org/officeDocument/2006/relationships/hyperlink" Target="https://www.kern-liebers.com/karriere/offene-stellen/" TargetMode="External" Id="rId3"/><Relationship Type="http://schemas.openxmlformats.org/officeDocument/2006/relationships/hyperlink" Target="https://www.kern-liebers.com/karriere/offene-stellen/" TargetMode="External" Id="rId4"/><Relationship Type="http://schemas.openxmlformats.org/officeDocument/2006/relationships/hyperlink" Target="https://www.kummer-gmbh.de/karriere.html" TargetMode="External" Id="rId5"/><Relationship Type="http://schemas.openxmlformats.org/officeDocument/2006/relationships/hyperlink" Target="https://www.kummer-gmbh.de/karriere.html" TargetMode="External" Id="rId6"/><Relationship Type="http://schemas.openxmlformats.org/officeDocument/2006/relationships/hyperlink" Target="https://jobs.ritter-sport.com/search/?q=&amp;locationsearch=&amp;searchResultView=LIST" TargetMode="External" Id="rId7"/><Relationship Type="http://schemas.openxmlformats.org/officeDocument/2006/relationships/hyperlink" Target="https://jobs.ritter-sport.com/services/recruiting/v1/jobs" TargetMode="External" Id="rId8"/><Relationship Type="http://schemas.openxmlformats.org/officeDocument/2006/relationships/hyperlink" Target="https://mvz-karlsruhe.career.softgarden.de/" TargetMode="External" Id="rId9"/><Relationship Type="http://schemas.openxmlformats.org/officeDocument/2006/relationships/hyperlink" Target="https://mvz-karlsruhe.career.softgarden.de/" TargetMode="External" Id="rId10"/><Relationship Type="http://schemas.openxmlformats.org/officeDocument/2006/relationships/hyperlink" Target="https://diconium.wd3.myworkdayjobs.com/wday/cxs/diconium/diconium/jobs" TargetMode="External" Id="rId11"/><Relationship Type="http://schemas.openxmlformats.org/officeDocument/2006/relationships/hyperlink" Target="https://covestro.wd3.myworkdayjobs.com/de-DE/cov_external" TargetMode="External" Id="rId12"/><Relationship Type="http://schemas.openxmlformats.org/officeDocument/2006/relationships/hyperlink" Target="https://covestro.wd3.myworkdayjobs.com/wday/cxs/covestro/cov_external/jobs" TargetMode="External" Id="rId13"/><Relationship Type="http://schemas.openxmlformats.org/officeDocument/2006/relationships/hyperlink" Target="https://trumpf.wd3.myworkdayjobs.com/de-DE/TRUMPF_Graduates_and_Professionals?_gl=1*er7x94*_gcl_au*MTU4NzgyODg4My4xNzg3NTU4NzQ3*_ga*MTM3MTI4NDE3NS4xNzg3NTU4NzUw*_ga_0L82LGW77D*czE3ODc1NzA1MjQkbzMkZzEkdDE3ODc1NzA1MjUkajU5JGwwJGgw" TargetMode="External" Id="rId14"/><Relationship Type="http://schemas.openxmlformats.org/officeDocument/2006/relationships/hyperlink" Target="https://trumpf.wd3.myworkdayjobs.com/wday/cxs/trumpf/TRUMPF_Graduates_and_Professionals/jobs" TargetMode="External" Id="rId15"/><Relationship Type="http://schemas.openxmlformats.org/officeDocument/2006/relationships/hyperlink" Target="https://swisscom.wd103.myworkdayjobs.com/de-DE/SwisscomExternalCareers" TargetMode="External" Id="rId16"/><Relationship Type="http://schemas.openxmlformats.org/officeDocument/2006/relationships/hyperlink" Target="https://swisscom.wd103.myworkdayjobs.com/wday/cxs/swisscom/SwisscomExternalCareers/jobs" TargetMode="External" Id="rId17"/><Relationship Type="http://schemas.openxmlformats.org/officeDocument/2006/relationships/hyperlink" Target="https://heidelberg.wd502.myworkdayjobs.com/de-DE/careersHEIDELBERG" TargetMode="External" Id="rId18"/><Relationship Type="http://schemas.openxmlformats.org/officeDocument/2006/relationships/hyperlink" Target="https://heidelberg.wd502.myworkdayjobs.com/wday/cxs/heidelberg/careersHEIDELBERG/jobs" TargetMode="External" Id="rId19"/><Relationship Type="http://schemas.openxmlformats.org/officeDocument/2006/relationships/hyperlink" Target="https://careers.abb/dach/de/home" TargetMode="External" Id="rId20"/><Relationship Type="http://schemas.openxmlformats.org/officeDocument/2006/relationships/hyperlink" Target="https://jobs.bbraun.com/" TargetMode="External" Id="rId21"/><Relationship Type="http://schemas.openxmlformats.org/officeDocument/2006/relationships/hyperlink" Target="https://careers.agilent.com/" TargetMode="External" Id="rId22"/><Relationship Type="http://schemas.openxmlformats.org/officeDocument/2006/relationships/hyperlink" Target="https://agilent.wd5.myworkdayjobs.com/wday/cxs/agilent/Agilent_Careers/jobs" TargetMode="External" Id="rId23"/><Relationship Type="http://schemas.openxmlformats.org/officeDocument/2006/relationships/hyperlink" Target="https://karriere.akkodis.com/" TargetMode="External" Id="rId24"/><Relationship Type="http://schemas.openxmlformats.org/officeDocument/2006/relationships/hyperlink" Target="https://careers.kaercher.com/" TargetMode="External" Id="rId25"/><Relationship Type="http://schemas.openxmlformats.org/officeDocument/2006/relationships/hyperlink" Target="https://www.amcor.com/careers" TargetMode="External" Id="rId26"/><Relationship Type="http://schemas.openxmlformats.org/officeDocument/2006/relationships/hyperlink" Target="https://career.stihl.com/" TargetMode="External" Id="rId27"/><Relationship Type="http://schemas.openxmlformats.org/officeDocument/2006/relationships/hyperlink" Target="https://jobs.aptar.com/" TargetMode="External" Id="rId28"/><Relationship Type="http://schemas.openxmlformats.org/officeDocument/2006/relationships/hyperlink" Target="https://karriere.atruvia.de/" TargetMode="External" Id="rId29"/><Relationship Type="http://schemas.openxmlformats.org/officeDocument/2006/relationships/hyperlink" Target="https://bewerben.bauhaus.info/" TargetMode="External" Id="rId30"/><Relationship Type="http://schemas.openxmlformats.org/officeDocument/2006/relationships/hyperlink" Target="https://jobs.bechtle.com/" TargetMode="External" Id="rId31"/><Relationship Type="http://schemas.openxmlformats.org/officeDocument/2006/relationships/hyperlink" Target="https://www.berner-group.com/karriere" TargetMode="External" Id="rId32"/><Relationship Type="http://schemas.openxmlformats.org/officeDocument/2006/relationships/hyperlink" Target="https://www.bertrandt.com/karriere" TargetMode="External" Id="rId33"/><Relationship Type="http://schemas.openxmlformats.org/officeDocument/2006/relationships/hyperlink" Target="https://jobs.bilfinger.com/" TargetMode="External" Id="rId34"/><Relationship Type="http://schemas.openxmlformats.org/officeDocument/2006/relationships/hyperlink" Target="https://careers.boehringer-ingelheim.com/" TargetMode="External" Id="rId35"/><Relationship Type="http://schemas.openxmlformats.org/officeDocument/2006/relationships/hyperlink" Target="https://join.com/companies/boysen" TargetMode="External" Id="rId36"/><Relationship Type="http://schemas.openxmlformats.org/officeDocument/2006/relationships/hyperlink" Target="https://www.cgi.com/de/de/karriere" TargetMode="External" Id="rId37"/><Relationship Type="http://schemas.openxmlformats.org/officeDocument/2006/relationships/hyperlink" Target="https://karriere.compassio.de/" TargetMode="External" Id="rId38"/><Relationship Type="http://schemas.openxmlformats.org/officeDocument/2006/relationships/hyperlink" Target="https://jobs.continental.com/de/" TargetMode="External" Id="rId39"/><Relationship Type="http://schemas.openxmlformats.org/officeDocument/2006/relationships/hyperlink" Target="https://api.smartrecruiters.com/v1/companies/continental/postings" TargetMode="External" Id="rId40"/><Relationship Type="http://schemas.openxmlformats.org/officeDocument/2006/relationships/hyperlink" Target="https://solutions.buses.daimlertruck.com/karriere" TargetMode="External" Id="rId41"/><Relationship Type="http://schemas.openxmlformats.org/officeDocument/2006/relationships/hyperlink" Target="https://www.daimlertruck.com/karriere" TargetMode="External" Id="rId42"/><Relationship Type="http://schemas.openxmlformats.org/officeDocument/2006/relationships/hyperlink" Target="https://jobs.dekra.com/" TargetMode="External" Id="rId43"/><Relationship Type="http://schemas.openxmlformats.org/officeDocument/2006/relationships/hyperlink" Target="https://db.jobs/de-de" TargetMode="External" Id="rId44"/><Relationship Type="http://schemas.openxmlformats.org/officeDocument/2006/relationships/hyperlink" Target="https://www.dus-karriere.de/" TargetMode="External" Id="rId45"/><Relationship Type="http://schemas.openxmlformats.org/officeDocument/2006/relationships/hyperlink" Target="https://www.dm-jobs.de/" TargetMode="External" Id="rId46"/><Relationship Type="http://schemas.openxmlformats.org/officeDocument/2006/relationships/hyperlink" Target="https://jobs.porsche.com/" TargetMode="External" Id="rId47"/><Relationship Type="http://schemas.openxmlformats.org/officeDocument/2006/relationships/hyperlink" Target="https://career.dreso.com/de/" TargetMode="External" Id="rId48"/><Relationship Type="http://schemas.openxmlformats.org/officeDocument/2006/relationships/hyperlink" Target="https://jobs.duravit.de/eng" TargetMode="External" Id="rId49"/><Relationship Type="http://schemas.openxmlformats.org/officeDocument/2006/relationships/hyperlink" Target="https://www.durr-group.com/de/karriere" TargetMode="External" Id="rId50"/><Relationship Type="http://schemas.openxmlformats.org/officeDocument/2006/relationships/hyperlink" Target="https://de.dussmanngroup.com/karriere" TargetMode="External" Id="rId51"/><Relationship Type="http://schemas.openxmlformats.org/officeDocument/2006/relationships/hyperlink" Target="https://www.e-breuninger.de/de/karriere/stellenangebote/" TargetMode="External" Id="rId52"/><Relationship Type="http://schemas.openxmlformats.org/officeDocument/2006/relationships/hyperlink" Target="https://www.eberspaecher-career.com/" TargetMode="External" Id="rId53"/><Relationship Type="http://schemas.openxmlformats.org/officeDocument/2006/relationships/hyperlink" Target="https://karriere.de.ebmpapst.com/" TargetMode="External" Id="rId54"/><Relationship Type="http://schemas.openxmlformats.org/officeDocument/2006/relationships/hyperlink" Target="https://www.zueblin.de/jobs-karriere" TargetMode="External" Id="rId55"/><Relationship Type="http://schemas.openxmlformats.org/officeDocument/2006/relationships/hyperlink" Target="https://karriere-edeka.de/" TargetMode="External" Id="rId56"/><Relationship Type="http://schemas.openxmlformats.org/officeDocument/2006/relationships/hyperlink" Target="https://elringklinger.de/karriere" TargetMode="External" Id="rId57"/><Relationship Type="http://schemas.openxmlformats.org/officeDocument/2006/relationships/hyperlink" Target="https://www.enbw.com/karriere/" TargetMode="External" Id="rId58"/><Relationship Type="http://schemas.openxmlformats.org/officeDocument/2006/relationships/hyperlink" Target="https://www.klett-gruppe.de/karriere/" TargetMode="External" Id="rId59"/><Relationship Type="http://schemas.openxmlformats.org/officeDocument/2006/relationships/hyperlink" Target="https://www.erwinhymergroup.com/karriere" TargetMode="External" Id="rId60"/><Relationship Type="http://schemas.openxmlformats.org/officeDocument/2006/relationships/hyperlink" Target="https://www.essity.com/careers/" TargetMode="External" Id="rId61"/><Relationship Type="http://schemas.openxmlformats.org/officeDocument/2006/relationships/hyperlink" Target="https://essity.wd3.myworkdayjobs.com/wday/cxs/essity/Job_opportunities/jobs" TargetMode="External" Id="rId62"/><Relationship Type="http://schemas.openxmlformats.org/officeDocument/2006/relationships/hyperlink" Target="https://jobs.europapark.de/" TargetMode="External" Id="rId63"/><Relationship Type="http://schemas.openxmlformats.org/officeDocument/2006/relationships/hyperlink" Target="https://careers.exyte.net/global/de/home" TargetMode="External" Id="rId64"/><Relationship Type="http://schemas.openxmlformats.org/officeDocument/2006/relationships/hyperlink" Target="https://jobsgermany.ey.com/" TargetMode="External" Id="rId65"/><Relationship Type="http://schemas.openxmlformats.org/officeDocument/2006/relationships/hyperlink" Target="https://jobs.festo.com/" TargetMode="External" Id="rId66"/><Relationship Type="http://schemas.openxmlformats.org/officeDocument/2006/relationships/hyperlink" Target="https://careers.liebherr.com/" TargetMode="External" Id="rId67"/><Relationship Type="http://schemas.openxmlformats.org/officeDocument/2006/relationships/hyperlink" Target="https://jobs.freudenberg.com/" TargetMode="External" Id="rId68"/><Relationship Type="http://schemas.openxmlformats.org/officeDocument/2006/relationships/hyperlink" Target="https://www.fuchs.com/de/de/karriere/" TargetMode="External" Id="rId69"/><Relationship Type="http://schemas.openxmlformats.org/officeDocument/2006/relationships/hyperlink" Target="https://karriere.husqvarnagroup.de/" TargetMode="External" Id="rId70"/><Relationship Type="http://schemas.openxmlformats.org/officeDocument/2006/relationships/hyperlink" Target="https://jobs.geberit.com/" TargetMode="External" Id="rId71"/><Relationship Type="http://schemas.openxmlformats.org/officeDocument/2006/relationships/hyperlink" Target="https://www.gft.com/de/de/about-us/career/" TargetMode="External" Id="rId72"/><Relationship Type="http://schemas.openxmlformats.org/officeDocument/2006/relationships/hyperlink" Target="https://karriere.gu-gruppe.de/" TargetMode="External" Id="rId73"/><Relationship Type="http://schemas.openxmlformats.org/officeDocument/2006/relationships/hyperlink" Target="https://www.groz-beckert.com/de/karriere/" TargetMode="External" Id="rId74"/><Relationship Type="http://schemas.openxmlformats.org/officeDocument/2006/relationships/hyperlink" Target="https://guehring.com/ueber-uns/karriere/" TargetMode="External" Id="rId75"/><Relationship Type="http://schemas.openxmlformats.org/officeDocument/2006/relationships/hyperlink" Target="https://www.hafele.com.de/de/info/ueber-haefele/karriere/385/" TargetMode="External" Id="rId76"/><Relationship Type="http://schemas.openxmlformats.org/officeDocument/2006/relationships/hyperlink" Target="https://www.handtmann.de/karriere/" TargetMode="External" Id="rId77"/><Relationship Type="http://schemas.openxmlformats.org/officeDocument/2006/relationships/hyperlink" Target="https://www.hansgrohe-group.com/de/karriere" TargetMode="External" Id="rId78"/><Relationship Type="http://schemas.openxmlformats.org/officeDocument/2006/relationships/hyperlink" Target="https://karriere.heidelbergmaterials.com/" TargetMode="External" Id="rId79"/><Relationship Type="http://schemas.openxmlformats.org/officeDocument/2006/relationships/hyperlink" Target="https://heidelbergmaterials.wd3.myworkdayjobs.com/wday/cxs/heidelbergmaterials/de-DE/Global_HM_Career_Site/jobs" TargetMode="External" Id="rId80"/><Relationship Type="http://schemas.openxmlformats.org/officeDocument/2006/relationships/hyperlink" Target="https://jobs.herrenknecht.com/" TargetMode="External" Id="rId81"/><Relationship Type="http://schemas.openxmlformats.org/officeDocument/2006/relationships/hyperlink" Target="https://www.homag.com/karriere" TargetMode="External" Id="rId82"/><Relationship Type="http://schemas.openxmlformats.org/officeDocument/2006/relationships/hyperlink" Target="https://www.burda.com/en/career" TargetMode="External" Id="rId83"/><Relationship Type="http://schemas.openxmlformats.org/officeDocument/2006/relationships/hyperlink" Target="https://careers.hugoboss.com/de/de/home" TargetMode="External" Id="rId84"/><Relationship Type="http://schemas.openxmlformats.org/officeDocument/2006/relationships/hyperlink" Target="https://www.ibm.com/de-de/careers" TargetMode="External" Id="rId85"/><Relationship Type="http://schemas.openxmlformats.org/officeDocument/2006/relationships/hyperlink" Target="https://www.deere.de/de-de/unser-unternehmen/karriere" TargetMode="External" Id="rId86"/><Relationship Type="http://schemas.openxmlformats.org/officeDocument/2006/relationships/hyperlink" Target="https://career.karlstorz.com/stellenangebote.html" TargetMode="External" Id="rId87"/><Relationship Type="http://schemas.openxmlformats.org/officeDocument/2006/relationships/hyperlink" Target="https://www.kiongroup.com/de/Karriere/Arbeiten-bei-KION/" TargetMode="External" Id="rId88"/><Relationship Type="http://schemas.openxmlformats.org/officeDocument/2006/relationships/hyperlink" Target="https://kiongroup.wd3.myworkdayjobs.com/wday/cxs/kiongroup/KIONGroup/jobs" TargetMode="External" Id="rId89"/><Relationship Type="http://schemas.openxmlformats.org/officeDocument/2006/relationships/hyperlink" Target="https://www.klinikverbund-suedwest.de/jobs-karriere/" TargetMode="External" Id="rId90"/><Relationship Type="http://schemas.openxmlformats.org/officeDocument/2006/relationships/hyperlink" Target="https://www.lapp.com/de/de/unternehmen/karriere/e/000013" TargetMode="External" Id="rId91"/><Relationship Type="http://schemas.openxmlformats.org/officeDocument/2006/relationships/hyperlink" Target="https://www.lbbw.de/menschen/karriere/karriere-bei-der-lbbw/karriere_7wo376iug_d.html" TargetMode="External" Id="rId92"/><Relationship Type="http://schemas.openxmlformats.org/officeDocument/2006/relationships/hyperlink" Target="https://lgigroup.com/de-de/karriere/stellenangebote/" TargetMode="External" Id="rId93"/><Relationship Type="http://schemas.openxmlformats.org/officeDocument/2006/relationships/hyperlink" Target="https://www.jobs.mahle.com/germany/de/" TargetMode="External" Id="rId94"/><Relationship Type="http://schemas.openxmlformats.org/officeDocument/2006/relationships/hyperlink" Target="https://www.mann-hummel.com/de/karriere.html" TargetMode="External" Id="rId95"/><Relationship Type="http://schemas.openxmlformats.org/officeDocument/2006/relationships/hyperlink" Target="https://jobs.marelli.com/?locale=de_DE" TargetMode="External" Id="rId96"/><Relationship Type="http://schemas.openxmlformats.org/officeDocument/2006/relationships/hyperlink" Target="https://www.marquardt.com/de/karriere/standorte/deutschland" TargetMode="External" Id="rId97"/><Relationship Type="http://schemas.openxmlformats.org/officeDocument/2006/relationships/hyperlink" Target="https://jobs.mercedes-benz.com/" TargetMode="External" Id="rId98"/><Relationship Type="http://schemas.openxmlformats.org/officeDocument/2006/relationships/hyperlink" Target="https://jobs.mhp.com/" TargetMode="External" Id="rId99"/><Relationship Type="http://schemas.openxmlformats.org/officeDocument/2006/relationships/hyperlink" Target="https://jobs.michelin.de/" TargetMode="External" Id="rId100"/><Relationship Type="http://schemas.openxmlformats.org/officeDocument/2006/relationships/hyperlink" Target="https://michelinhr.wd3.myworkdayjobs.com/wday/cxs/michelinhr/Michelin/jobs" TargetMode="External" Id="rId101"/><Relationship Type="http://schemas.openxmlformats.org/officeDocument/2006/relationships/hyperlink" Target="https://www.mvv.de/karriere" TargetMode="External" Id="rId102"/><Relationship Type="http://schemas.openxmlformats.org/officeDocument/2006/relationships/hyperlink" Target="https://jobs.nokia.com/" TargetMode="External" Id="rId103"/><Relationship Type="http://schemas.openxmlformats.org/officeDocument/2006/relationships/hyperlink" Target="https://careers.hartmann.info/" TargetMode="External" Id="rId104"/><Relationship Type="http://schemas.openxmlformats.org/officeDocument/2006/relationships/hyperlink" Target="https://www.phoenixgroup.eu/de/karriere/jobs" TargetMode="External" Id="rId105"/><Relationship Type="http://schemas.openxmlformats.org/officeDocument/2006/relationships/hyperlink" Target="https://www.rheinmetall.com/de/karriere/uebersicht-karriere" TargetMode="External" Id="rId106"/><Relationship Type="http://schemas.openxmlformats.org/officeDocument/2006/relationships/hyperlink" Target="https://www.rkh-karriere.de/" TargetMode="External" Id="rId107"/><Relationship Type="http://schemas.openxmlformats.org/officeDocument/2006/relationships/hyperlink" Target="https://jobs.bosch.com/" TargetMode="External" Id="rId108"/><Relationship Type="http://schemas.openxmlformats.org/officeDocument/2006/relationships/hyperlink" Target="https://api.smartrecruiters.com/v1/companies/BoschGroup/postings" TargetMode="External" Id="rId109"/><Relationship Type="http://schemas.openxmlformats.org/officeDocument/2006/relationships/hyperlink" Target="https://careers.roche.com/de/de/home" TargetMode="External" Id="rId110"/><Relationship Type="http://schemas.openxmlformats.org/officeDocument/2006/relationships/hyperlink" Target="https://careers.roche.com/de/de/home" TargetMode="External" Id="rId111"/><Relationship Type="http://schemas.openxmlformats.org/officeDocument/2006/relationships/hyperlink" Target="https://jobs.roechling.com/de/karriere" TargetMode="External" Id="rId112"/><Relationship Type="http://schemas.openxmlformats.org/officeDocument/2006/relationships/hyperlink" Target="https://careers.rolls-royce.com/de" TargetMode="External" Id="rId113"/><Relationship Type="http://schemas.openxmlformats.org/officeDocument/2006/relationships/hyperlink" Target="https://www.jobs.roto-frank.com/" TargetMode="External" Id="rId114"/><Relationship Type="http://schemas.openxmlformats.org/officeDocument/2006/relationships/hyperlink" Target="https://jobs.sap.com/" TargetMode="External" Id="rId115"/><Relationship Type="http://schemas.openxmlformats.org/officeDocument/2006/relationships/hyperlink" Target="https://jobs.schaeffler.com/" TargetMode="External" Id="rId116"/><Relationship Type="http://schemas.openxmlformats.org/officeDocument/2006/relationships/hyperlink" Target="https://career.schulergroup.com/de/" TargetMode="External" Id="rId117"/><Relationship Type="http://schemas.openxmlformats.org/officeDocument/2006/relationships/hyperlink" Target="https://gruppe.schwarz/karriere" TargetMode="External" Id="rId118"/><Relationship Type="http://schemas.openxmlformats.org/officeDocument/2006/relationships/hyperlink" Target="https://www.sew-eurodrive.de/careers/careers.html" TargetMode="External" Id="rId119"/><Relationship Type="http://schemas.openxmlformats.org/officeDocument/2006/relationships/hyperlink" Target="https://jobs.sick.com/" TargetMode="External" Id="rId120"/><Relationship Type="http://schemas.openxmlformats.org/officeDocument/2006/relationships/hyperlink" Target="https://www.slk-kliniken.de/karriere/" TargetMode="External" Id="rId121"/><Relationship Type="http://schemas.openxmlformats.org/officeDocument/2006/relationships/hyperlink" Target="https://www.klinikum-karlsruhe.com/beruf-karriere/stellenmarkt.html" TargetMode="External" Id="rId122"/><Relationship Type="http://schemas.openxmlformats.org/officeDocument/2006/relationships/hyperlink" Target="https://www.sto.de/s/karriere" TargetMode="External" Id="rId123"/><Relationship Type="http://schemas.openxmlformats.org/officeDocument/2006/relationships/hyperlink" Target="https://www.suedzuckergroup.com/de/karriere" TargetMode="External" Id="rId124"/><Relationship Type="http://schemas.openxmlformats.org/officeDocument/2006/relationships/hyperlink" Target="https://www.sparkassenversicherung.de/karriere.html" TargetMode="External" Id="rId125"/><Relationship Type="http://schemas.openxmlformats.org/officeDocument/2006/relationships/hyperlink" Target="https://jobs.syntegon.com/" TargetMode="External" Id="rId126"/><Relationship Type="http://schemas.openxmlformats.org/officeDocument/2006/relationships/hyperlink" Target="https://careers.thalesgroup.com/de/de/search-results" TargetMode="External" Id="rId127"/><Relationship Type="http://schemas.openxmlformats.org/officeDocument/2006/relationships/hyperlink" Target="https://www.trelleborg.com/de-de/seals/about-us/karriere" TargetMode="External" Id="rId128"/><Relationship Type="http://schemas.openxmlformats.org/officeDocument/2006/relationships/hyperlink" Target="https://www.umm.uni-heidelberg.de/karriere/" TargetMode="External" Id="rId129"/><Relationship Type="http://schemas.openxmlformats.org/officeDocument/2006/relationships/hyperlink" Target="https://www.medizin.uni-tuebingen.de/de/karriere" TargetMode="External" Id="rId130"/><Relationship Type="http://schemas.openxmlformats.org/officeDocument/2006/relationships/hyperlink" Target="https://www.uni-ulm.de/einrichtungen/zuv/dezernat-3/stellenportal/stellenangebote/" TargetMode="External" Id="rId131"/><Relationship Type="http://schemas.openxmlformats.org/officeDocument/2006/relationships/hyperlink" Target="https://www.fischer-group.com/karriere" TargetMode="External" Id="rId132"/><Relationship Type="http://schemas.openxmlformats.org/officeDocument/2006/relationships/hyperlink" Target="https://www.vetter-pharma.com/de/karriere-pharma/" TargetMode="External" Id="rId133"/><Relationship Type="http://schemas.openxmlformats.org/officeDocument/2006/relationships/hyperlink" Target="https://jobs.voith.com/" TargetMode="External" Id="rId134"/><Relationship Type="http://schemas.openxmlformats.org/officeDocument/2006/relationships/hyperlink" Target="https://karriere.weishaupt.de/" TargetMode="External" Id="rId135"/><Relationship Type="http://schemas.openxmlformats.org/officeDocument/2006/relationships/hyperlink" Target="https://jobs.wieland.com/de/jobs" TargetMode="External" Id="rId136"/><Relationship Type="http://schemas.openxmlformats.org/officeDocument/2006/relationships/hyperlink" Target="https://jobs.witzenmann.com/" TargetMode="External" Id="rId137"/><Relationship Type="http://schemas.openxmlformats.org/officeDocument/2006/relationships/hyperlink" Target="https://your-career.wuerth.com/" TargetMode="External" Id="rId138"/><Relationship Type="http://schemas.openxmlformats.org/officeDocument/2006/relationships/hyperlink" Target="https://www.ww-ag.com/de/karriere" TargetMode="External" Id="rId139"/><Relationship Type="http://schemas.openxmlformats.org/officeDocument/2006/relationships/hyperlink" Target="https://zeissgroup.wd3.myworkdayjobs.com/External" TargetMode="External" Id="rId140"/><Relationship Type="http://schemas.openxmlformats.org/officeDocument/2006/relationships/hyperlink" Target="https://zeissgroup.wd3.myworkdayjobs.com/wday/cxs/zeissgroup/External/jobs" TargetMode="External" Id="rId141"/><Relationship Type="http://schemas.openxmlformats.org/officeDocument/2006/relationships/hyperlink" Target="https://www.zeppelin.com/de/de/karriere/" TargetMode="External" Id="rId142"/><Relationship Type="http://schemas.openxmlformats.org/officeDocument/2006/relationships/hyperlink" Target="https://zeppelin.wd3.myworkdayjobs.com/wday/cxs/zeppelin/de-DE/careers/jobs" TargetMode="External" Id="rId143"/><Relationship Type="http://schemas.openxmlformats.org/officeDocument/2006/relationships/hyperlink" Target="https://www.zf.com/careers" TargetMode="External" Id="rId144"/><Relationship Type="http://schemas.openxmlformats.org/officeDocument/2006/relationships/hyperlink" Target="https://careers.zf-lifetec.com/" TargetMode="External" Id="rId145"/><Relationship Type="http://schemas.openxmlformats.org/officeDocument/2006/relationships/hyperlink" Target="https://career.ziehl-abegg.com/" TargetMode="External" Id="rId146"/><Relationship Type="http://schemas.openxmlformats.org/officeDocument/2006/relationships/hyperlink" Target="https://jobs.we-online.com/" TargetMode="External" Id="rId147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77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D19" activeCellId="0" sqref="D19"/>
    </sheetView>
  </sheetViews>
  <sheetFormatPr baseColWidth="8" defaultColWidth="8.73046875" defaultRowHeight="14.25" zeroHeight="0" outlineLevelRow="0"/>
  <cols>
    <col width="38" customWidth="1" style="19" min="1" max="1"/>
    <col width="12" customWidth="1" style="19" min="2" max="2"/>
    <col width="42" customWidth="1" style="19" min="3" max="3"/>
    <col width="22" customWidth="1" style="19" min="4" max="4"/>
    <col width="16" customWidth="1" style="19" min="5" max="5"/>
    <col width="45" customWidth="1" style="19" min="6" max="7"/>
  </cols>
  <sheetData>
    <row r="1" ht="15" customHeight="1" s="20">
      <c r="A1" s="21" t="inlineStr">
        <is>
          <t>company</t>
        </is>
      </c>
      <c r="B1" s="22" t="inlineStr">
        <is>
          <t>employees</t>
        </is>
      </c>
      <c r="C1" s="22" t="inlineStr">
        <is>
          <t>industry</t>
        </is>
      </c>
      <c r="D1" s="22" t="inlineStr">
        <is>
          <t xml:space="preserve"> headquarter</t>
        </is>
      </c>
      <c r="E1" s="22" t="inlineStr">
        <is>
          <t>career software</t>
        </is>
      </c>
      <c r="F1" s="23" t="inlineStr">
        <is>
          <t>career URL (corporate)</t>
        </is>
      </c>
      <c r="G1" s="23" t="inlineStr">
        <is>
          <t>career URL (code)</t>
        </is>
      </c>
    </row>
    <row r="2" ht="14.25" customHeight="1" s="20">
      <c r="A2" s="24" t="inlineStr">
        <is>
          <t>Pepperl+Fuchs SE</t>
        </is>
      </c>
      <c r="B2" s="25" t="n">
        <v>6280</v>
      </c>
      <c r="C2" s="26" t="inlineStr">
        <is>
          <t>Automatisierung (industrielle Sensorik, elektr. Explosionsschutz)</t>
        </is>
      </c>
      <c r="D2" s="25" t="inlineStr">
        <is>
          <t>Mannheim</t>
        </is>
      </c>
      <c r="E2" s="26" t="inlineStr">
        <is>
          <t>Workday</t>
        </is>
      </c>
      <c r="F2" s="27" t="inlineStr">
        <is>
          <t>https://pepperlfuchs.wd103.myworkdayjobs.com/de-DE/PepperlFuchs</t>
        </is>
      </c>
      <c r="G2" s="27" t="inlineStr">
        <is>
          <t>https://pepperlfuchs.wd103.myworkdayjobs.com/wday/cxs/pepperlfuchs/PepperlFuchs/jobs</t>
        </is>
      </c>
    </row>
    <row r="3" ht="14.25" customHeight="1" s="20">
      <c r="A3" s="24" t="inlineStr">
        <is>
          <t>KERN LIEBERS GmbH &amp; Co. KG</t>
        </is>
      </c>
      <c r="B3" s="28" t="n">
        <v>2810</v>
      </c>
      <c r="C3" s="26" t="inlineStr">
        <is>
          <t>Metallverarbeitung (Federn, Stanzteile, Baugruppen)</t>
        </is>
      </c>
      <c r="D3" s="28" t="inlineStr">
        <is>
          <t>Schramberg</t>
        </is>
      </c>
      <c r="E3" s="26" t="inlineStr">
        <is>
          <t>HTML</t>
        </is>
      </c>
      <c r="F3" s="27" t="inlineStr">
        <is>
          <t>https://www.kern-liebers.com/karriere/offene-stellen/</t>
        </is>
      </c>
      <c r="G3" s="27" t="inlineStr">
        <is>
          <t>https://www.kern-liebers.com/karriere/offene-stellen/</t>
        </is>
      </c>
    </row>
    <row r="4" ht="14.25" customHeight="1" s="20">
      <c r="A4" s="24" t="inlineStr">
        <is>
          <t>Kummer GmbH &amp; Co. KG</t>
        </is>
      </c>
      <c r="B4" s="28" t="n">
        <v>200</v>
      </c>
      <c r="C4" s="26" t="inlineStr">
        <is>
          <t>Werkzeughersteller (Stanzen, Spritzguss, Werkzeugbau)</t>
        </is>
      </c>
      <c r="D4" s="28" t="inlineStr">
        <is>
          <t>Ötisheim</t>
        </is>
      </c>
      <c r="E4" s="26" t="inlineStr">
        <is>
          <t>HTML</t>
        </is>
      </c>
      <c r="F4" s="27" t="inlineStr">
        <is>
          <t>https://www.kummer-gmbh.de/karriere.html#c875</t>
        </is>
      </c>
      <c r="G4" s="27" t="inlineStr">
        <is>
          <t>https://www.kummer-gmbh.de/karriere.html#c875</t>
        </is>
      </c>
    </row>
    <row r="5" ht="14.25" customHeight="1" s="20">
      <c r="A5" s="24" t="inlineStr">
        <is>
          <t>Alfred Ritter GmbH &amp; Co. KG</t>
        </is>
      </c>
      <c r="B5" s="28" t="n">
        <v>1900</v>
      </c>
      <c r="C5" s="26" t="inlineStr">
        <is>
          <t>Lebensmittelherstellung</t>
        </is>
      </c>
      <c r="D5" s="28" t="inlineStr">
        <is>
          <t>Waldenbuch</t>
        </is>
      </c>
      <c r="E5" s="26" t="inlineStr">
        <is>
          <t>SAP SucessFactors</t>
        </is>
      </c>
      <c r="F5" s="27" t="inlineStr">
        <is>
          <t>https://jobs.ritter-sport.com/search/?q=&amp;locationsearch=&amp;searchResultView=LIST</t>
        </is>
      </c>
      <c r="G5" s="27" t="inlineStr">
        <is>
          <t>https://jobs.ritter-sport.com/services/recruiting/v1/jobs</t>
        </is>
      </c>
    </row>
    <row r="6" ht="14.25" customHeight="1" s="20">
      <c r="A6" s="24" t="inlineStr">
        <is>
          <t>Bioscientia MVZ Labor Karlsruhe GmbH</t>
        </is>
      </c>
      <c r="B6" s="28" t="n">
        <v>250</v>
      </c>
      <c r="C6" s="26" t="inlineStr">
        <is>
          <t>Medizintechnik (Labormedizin und medizinische Diagnostik)</t>
        </is>
      </c>
      <c r="D6" s="28" t="inlineStr">
        <is>
          <t>Karlsruhe</t>
        </is>
      </c>
      <c r="E6" s="26" t="inlineStr">
        <is>
          <t>HTML</t>
        </is>
      </c>
      <c r="F6" s="27" t="inlineStr">
        <is>
          <t>https://mvz-karlsruhe.career.softgarden.de/</t>
        </is>
      </c>
      <c r="G6" s="27" t="inlineStr">
        <is>
          <t>https://mvz-karlsruhe.career.softgarden.de/</t>
        </is>
      </c>
    </row>
    <row r="7" ht="14.25" customHeight="1" s="20">
      <c r="A7" s="24" t="inlineStr">
        <is>
          <t>Diconium GmbH</t>
        </is>
      </c>
      <c r="B7" s="28" t="n">
        <v>2300</v>
      </c>
      <c r="C7" s="26" t="inlineStr">
        <is>
          <t>Software-Entwicklung und digitale Transformation</t>
        </is>
      </c>
      <c r="D7" s="28" t="inlineStr">
        <is>
          <t>Stuttgart</t>
        </is>
      </c>
      <c r="E7" s="26" t="inlineStr">
        <is>
          <t>Workday</t>
        </is>
      </c>
      <c r="F7" s="29" t="inlineStr">
        <is>
          <t>https://diconium.wd3.myworkdayjobs.com/de-DE/diconium</t>
        </is>
      </c>
      <c r="G7" s="29" t="inlineStr">
        <is>
          <t>https://diconium.wd3.myworkdayjobs.com/wday/cxs/diconium/diconium/jobs</t>
        </is>
      </c>
    </row>
    <row r="8" ht="14.25" customHeight="1" s="20">
      <c r="A8" s="24" t="inlineStr">
        <is>
          <t>Covestro Deutschland AG</t>
        </is>
      </c>
      <c r="B8" s="28" t="n">
        <v>7250</v>
      </c>
      <c r="C8" s="26" t="inlineStr">
        <is>
          <t>Chemiebranche (Herstellung von Polymeren, Kunststoffen, usw.)</t>
        </is>
      </c>
      <c r="D8" s="28" t="inlineStr">
        <is>
          <t>Leverkusen</t>
        </is>
      </c>
      <c r="E8" s="26" t="inlineStr">
        <is>
          <t>Workday</t>
        </is>
      </c>
      <c r="F8" s="27" t="inlineStr">
        <is>
          <t>https://covestro.wd3.myworkdayjobs.com/de-DE/cov_external</t>
        </is>
      </c>
      <c r="G8" s="30" t="inlineStr">
        <is>
          <t>https://covestro.wd3.myworkdayjobs.com/wday/cxs/covestro/cov_external/jobs</t>
        </is>
      </c>
    </row>
    <row r="9" ht="14.25" customHeight="1" s="20">
      <c r="A9" s="24" t="inlineStr">
        <is>
          <t>TRUMPF SE + Co. KG</t>
        </is>
      </c>
      <c r="B9" s="28" t="n">
        <v>9337</v>
      </c>
      <c r="C9" s="26" t="inlineStr">
        <is>
          <t>Werkzeugmaschinen, Lasertechnik</t>
        </is>
      </c>
      <c r="D9" s="28" t="inlineStr">
        <is>
          <t>Ditzingen</t>
        </is>
      </c>
      <c r="E9" s="26" t="inlineStr">
        <is>
          <t>Workday</t>
        </is>
      </c>
      <c r="F9" s="27" t="inlineStr">
        <is>
          <t>https://trumpf.wd3.myworkdayjobs.com/de-DE/TRUMPF_Graduates_and_Professionals?_gl=1*er7x94*_gcl_au*MTU4NzgyODg4My4xNzg3NTU4NzQ3*_ga*MTM3MTI4NDE3NS4xNzg3NTU4NzUw*_ga_0L82LGW77D*czE3ODc1NzA1MjQkbzMkZzEkdDE3ODc1NzA1MjUkajU5JGwwJGgw</t>
        </is>
      </c>
      <c r="G9" s="30" t="inlineStr">
        <is>
          <t>https://trumpf.wd3.myworkdayjobs.com/wday/cxs/trumpf/TRUMPF_Graduates_and_Professionals/jobs</t>
        </is>
      </c>
    </row>
    <row r="10" ht="14.25" customHeight="1" s="20">
      <c r="A10" s="24" t="inlineStr">
        <is>
          <t>Swisscom AG</t>
        </is>
      </c>
      <c r="B10" s="28" t="n">
        <v>22500</v>
      </c>
      <c r="C10" s="26" t="inlineStr">
        <is>
          <t>Telekommunikation, IT-Anbieter</t>
        </is>
      </c>
      <c r="D10" s="28" t="inlineStr">
        <is>
          <t>Ittigen (Schweiz)</t>
        </is>
      </c>
      <c r="E10" s="26" t="inlineStr">
        <is>
          <t>Workday</t>
        </is>
      </c>
      <c r="F10" s="27" t="inlineStr">
        <is>
          <t>https://swisscom.wd103.myworkdayjobs.com/de-DE/SwisscomExternalCareers</t>
        </is>
      </c>
      <c r="G10" s="30" t="inlineStr">
        <is>
          <t>https://swisscom.wd103.myworkdayjobs.com/wday/cxs/swisscom/SwisscomExternalCareers/jobs</t>
        </is>
      </c>
    </row>
    <row r="11" ht="15" customHeight="1" s="20">
      <c r="A11" s="31" t="inlineStr">
        <is>
          <t>Heidelberger Druckmaschinen AG</t>
        </is>
      </c>
      <c r="B11" s="32" t="n">
        <v>9500</v>
      </c>
      <c r="C11" s="33" t="inlineStr">
        <is>
          <t>Präzisionsmaschinenbau (Druckmaschinen)</t>
        </is>
      </c>
      <c r="D11" s="32" t="inlineStr">
        <is>
          <t>Heidelberg</t>
        </is>
      </c>
      <c r="E11" s="33" t="inlineStr">
        <is>
          <t>Workday</t>
        </is>
      </c>
      <c r="F11" s="34" t="inlineStr">
        <is>
          <t>https://heidelberg.wd502.myworkdayjobs.com/de-DE/careersHEIDELBERG</t>
        </is>
      </c>
      <c r="G11" s="35" t="inlineStr">
        <is>
          <t>https://heidelberg.wd502.myworkdayjobs.com/wday/cxs/heidelberg/careersHEIDELBERG/jobs</t>
        </is>
      </c>
    </row>
    <row r="12" ht="14.25" customHeight="1" s="20">
      <c r="A12" s="36" t="inlineStr">
        <is>
          <t>A. Raymond GmbH &amp; Co. KG</t>
        </is>
      </c>
      <c r="B12" s="36" t="n">
        <v>1412</v>
      </c>
      <c r="C12" s="36" t="inlineStr">
        <is>
          <t>Fahrzeugtechnik</t>
        </is>
      </c>
      <c r="D12" s="36" t="inlineStr">
        <is>
          <t>Lörrach</t>
        </is>
      </c>
    </row>
    <row r="13" ht="14.25" customHeight="1" s="20">
      <c r="A13" s="36" t="inlineStr">
        <is>
          <t>ABB AG</t>
        </is>
      </c>
      <c r="B13" s="36" t="n">
        <v>10500</v>
      </c>
      <c r="C13" s="36" t="inlineStr">
        <is>
          <t>Energie- und Automationstechnik</t>
        </is>
      </c>
      <c r="D13" s="36" t="inlineStr">
        <is>
          <t>Mannheim</t>
        </is>
      </c>
      <c r="E13" s="19" t="inlineStr">
        <is>
          <t>Eigenes Portal</t>
        </is>
      </c>
      <c r="F13" s="19" t="inlineStr">
        <is>
          <t>https://careers.abb/dach/de/home</t>
        </is>
      </c>
    </row>
    <row r="14" ht="14.25" customHeight="1" s="20">
      <c r="A14" s="36" t="inlineStr">
        <is>
          <t>ACPS Automotive GmbH</t>
        </is>
      </c>
      <c r="B14" s="36" t="n">
        <v>2093</v>
      </c>
      <c r="C14" s="36" t="inlineStr">
        <is>
          <t>Automobilzulieferer</t>
        </is>
      </c>
      <c r="D14" s="36" t="inlineStr">
        <is>
          <t>Ingersheim</t>
        </is>
      </c>
    </row>
    <row r="15" ht="14.25" customHeight="1" s="20">
      <c r="A15" s="36" t="inlineStr">
        <is>
          <t>ADK GmbH für Gesundheit und Soziales</t>
        </is>
      </c>
      <c r="B15" s="36" t="n">
        <v>2250</v>
      </c>
      <c r="C15" s="36" t="inlineStr">
        <is>
          <t>Gesundheitsdienstleistungen</t>
        </is>
      </c>
      <c r="D15" s="36" t="inlineStr">
        <is>
          <t>Ehingen (Donau)</t>
        </is>
      </c>
    </row>
    <row r="16" ht="14.25" customHeight="1" s="20">
      <c r="A16" s="36" t="inlineStr">
        <is>
          <t>ADM WILD Europe GmbH &amp; Co. KG</t>
        </is>
      </c>
      <c r="B16" s="36" t="n">
        <v>2000</v>
      </c>
      <c r="C16" s="36" t="inlineStr">
        <is>
          <t>Nahrungsmittelherstellung</t>
        </is>
      </c>
      <c r="D16" s="36" t="inlineStr">
        <is>
          <t>Eppelheim</t>
        </is>
      </c>
    </row>
    <row r="17" ht="14.25" customHeight="1" s="20">
      <c r="A17" s="36" t="inlineStr">
        <is>
          <t>Aesculap AG - part of the B. Braun Group</t>
        </is>
      </c>
      <c r="B17" s="36" t="n">
        <v>63000</v>
      </c>
      <c r="C17" s="36" t="inlineStr">
        <is>
          <t>Medizintechnik</t>
        </is>
      </c>
      <c r="D17" s="36" t="inlineStr">
        <is>
          <t>Tuttlingen</t>
        </is>
      </c>
      <c r="E17" s="19" t="inlineStr">
        <is>
          <t>Eigenes Portal (B. Braun Global Job Market)</t>
        </is>
      </c>
      <c r="F17" s="19" t="inlineStr">
        <is>
          <t>https://jobs.bbraun.com/</t>
        </is>
      </c>
    </row>
    <row r="18" ht="14.25" customHeight="1" s="20">
      <c r="A18" s="36" t="inlineStr">
        <is>
          <t>Agilent Technologies Deutschland GmbH</t>
        </is>
      </c>
      <c r="B18" s="36" t="n">
        <v>15500</v>
      </c>
      <c r="C18" s="36" t="inlineStr">
        <is>
          <t>Analytische Messtechnik</t>
        </is>
      </c>
      <c r="D18" s="36" t="inlineStr">
        <is>
          <t>Waldbronn</t>
        </is>
      </c>
      <c r="E18" s="19" t="inlineStr">
        <is>
          <t>Workday</t>
        </is>
      </c>
      <c r="F18" s="19" t="inlineStr">
        <is>
          <t>https://careers.agilent.com/</t>
        </is>
      </c>
      <c r="G18" s="19" t="inlineStr">
        <is>
          <t>https://agilent.wd5.myworkdayjobs.com/wday/cxs/agilent/Agilent_Careers/jobs</t>
        </is>
      </c>
    </row>
    <row r="19" ht="14.25" customHeight="1" s="20">
      <c r="A19" s="36" t="inlineStr">
        <is>
          <t>Akkodis Germany GmbH</t>
        </is>
      </c>
      <c r="B19" s="36" t="n">
        <v>5700</v>
      </c>
      <c r="C19" s="36" t="inlineStr">
        <is>
          <t>Engineering- und Consultingdienstleistungen</t>
        </is>
      </c>
      <c r="D19" s="36" t="inlineStr">
        <is>
          <t>Sindelfingen</t>
        </is>
      </c>
      <c r="E19" s="19" t="inlineStr">
        <is>
          <t>Eigenes Portal</t>
        </is>
      </c>
      <c r="F19" s="19" t="inlineStr">
        <is>
          <t>https://karriere.akkodis.com/</t>
        </is>
      </c>
    </row>
    <row r="20" ht="14.25" customHeight="1" s="20">
      <c r="A20" s="36" t="inlineStr">
        <is>
          <t>ALB FILS KLINIKUM GmbH</t>
        </is>
      </c>
      <c r="B20" s="36" t="n">
        <v>2485</v>
      </c>
      <c r="C20" s="36" t="inlineStr">
        <is>
          <t>Gesundheitswesen</t>
        </is>
      </c>
      <c r="D20" s="36" t="inlineStr">
        <is>
          <t>Göppingen</t>
        </is>
      </c>
    </row>
    <row r="21" ht="14.25" customHeight="1" s="20">
      <c r="A21" s="36" t="inlineStr">
        <is>
          <t>Albert Ziegler GmbH</t>
        </is>
      </c>
      <c r="B21" s="36" t="n">
        <v>1200</v>
      </c>
      <c r="C21" s="36" t="inlineStr">
        <is>
          <t>Sonderfahrzeugbau</t>
        </is>
      </c>
      <c r="D21" s="36" t="inlineStr">
        <is>
          <t>Giengen</t>
        </is>
      </c>
    </row>
    <row r="22" ht="14.25" customHeight="1" s="20">
      <c r="A22" s="36" t="inlineStr">
        <is>
          <t>Alexander Bürkle GmbH &amp; Co. KG</t>
        </is>
      </c>
      <c r="B22" s="36" t="n">
        <v>1169</v>
      </c>
      <c r="C22" s="36" t="inlineStr">
        <is>
          <t>Elektrohandel / Technologie-Dienstleister</t>
        </is>
      </c>
      <c r="D22" s="36" t="inlineStr">
        <is>
          <t>Freiburg im Breisgau</t>
        </is>
      </c>
    </row>
    <row r="23" ht="14.25" customHeight="1" s="20">
      <c r="A23" s="36" t="inlineStr">
        <is>
          <t>Alfred Kärcher SE &amp; Co. KG</t>
        </is>
      </c>
      <c r="B23" s="36" t="n">
        <v>16000</v>
      </c>
      <c r="C23" s="36" t="inlineStr">
        <is>
          <t>Maschinenbau, Reinigungstechnik</t>
        </is>
      </c>
      <c r="D23" s="36" t="inlineStr">
        <is>
          <t>Winnenden</t>
        </is>
      </c>
      <c r="E23" s="19" t="inlineStr">
        <is>
          <t>Eigenes Portal</t>
        </is>
      </c>
      <c r="F23" s="19" t="inlineStr">
        <is>
          <t>https://careers.kaercher.com/</t>
        </is>
      </c>
    </row>
    <row r="24" ht="14.25" customHeight="1" s="20">
      <c r="A24" s="36" t="inlineStr">
        <is>
          <t>Amann &amp; Söhne GmbH &amp; Co. KG</t>
        </is>
      </c>
      <c r="B24" s="36" t="n">
        <v>2696</v>
      </c>
      <c r="C24" s="36" t="inlineStr">
        <is>
          <t>Textil</t>
        </is>
      </c>
      <c r="D24" s="36" t="inlineStr">
        <is>
          <t>Bönnigheim</t>
        </is>
      </c>
    </row>
    <row r="25" ht="14.25" customHeight="1" s="20">
      <c r="A25" s="36" t="inlineStr">
        <is>
          <t>Amcor Flexibles Singen GmbH</t>
        </is>
      </c>
      <c r="B25" s="36" t="n">
        <v>48000</v>
      </c>
      <c r="C25" s="36" t="inlineStr">
        <is>
          <t>Verpackung</t>
        </is>
      </c>
      <c r="D25" s="36" t="inlineStr">
        <is>
          <t>Singen</t>
        </is>
      </c>
      <c r="E25" s="19" t="inlineStr">
        <is>
          <t>Eigenes Portal (Konzernweit, Amcor)</t>
        </is>
      </c>
      <c r="F25" s="19" t="inlineStr">
        <is>
          <t>https://www.amcor.com/careers</t>
        </is>
      </c>
    </row>
    <row r="26" ht="14.25" customHeight="1" s="20">
      <c r="A26" s="36" t="inlineStr">
        <is>
          <t>ANDREAS STIHL AG &amp; Co. KG</t>
        </is>
      </c>
      <c r="B26" s="36" t="n">
        <v>19805</v>
      </c>
      <c r="C26" s="36" t="inlineStr">
        <is>
          <t>Maschinenbau</t>
        </is>
      </c>
      <c r="D26" s="36" t="inlineStr">
        <is>
          <t>Waiblingen</t>
        </is>
      </c>
      <c r="E26" s="19" t="inlineStr">
        <is>
          <t>Eigenes Portal</t>
        </is>
      </c>
      <c r="F26" s="19" t="inlineStr">
        <is>
          <t>https://career.stihl.com/</t>
        </is>
      </c>
    </row>
    <row r="27" ht="14.25" customHeight="1" s="20">
      <c r="A27" s="36" t="inlineStr">
        <is>
          <t>Anton Häring KG</t>
        </is>
      </c>
      <c r="B27" s="36" t="n">
        <v>4000</v>
      </c>
      <c r="C27" s="36" t="inlineStr">
        <is>
          <t>Präzisionsteile Automobilindustrie</t>
        </is>
      </c>
      <c r="D27" s="36" t="inlineStr">
        <is>
          <t>Bubsheim</t>
        </is>
      </c>
    </row>
    <row r="28" ht="14.25" customHeight="1" s="20">
      <c r="A28" s="36" t="inlineStr">
        <is>
          <t>Aptar Radolfzell GmbH</t>
        </is>
      </c>
      <c r="B28" s="36" t="n">
        <v>14000</v>
      </c>
      <c r="C28" s="36" t="inlineStr">
        <is>
          <t>Zerstäuber und Dosiersysteme</t>
        </is>
      </c>
      <c r="D28" s="36" t="inlineStr">
        <is>
          <t>Radolfzell</t>
        </is>
      </c>
      <c r="E28" s="19" t="inlineStr">
        <is>
          <t>Eigenes Portal (Konzernweit, AptarGroup)</t>
        </is>
      </c>
      <c r="F28" s="19" t="inlineStr">
        <is>
          <t>https://jobs.aptar.com/</t>
        </is>
      </c>
    </row>
    <row r="29" ht="14.25" customHeight="1" s="20">
      <c r="A29" s="36" t="inlineStr">
        <is>
          <t>ARBURG GmbH + Co KG</t>
        </is>
      </c>
      <c r="B29" s="36" t="n">
        <v>3700</v>
      </c>
      <c r="C29" s="36" t="inlineStr">
        <is>
          <t>Kunststoffindustrie, Maschinenbau</t>
        </is>
      </c>
      <c r="D29" s="36" t="inlineStr">
        <is>
          <t>Loßburg</t>
        </is>
      </c>
    </row>
    <row r="30" ht="14.25" customHeight="1" s="20">
      <c r="A30" s="36" t="inlineStr">
        <is>
          <t>Atruvia AG</t>
        </is>
      </c>
      <c r="B30" s="36" t="n">
        <v>5260</v>
      </c>
      <c r="C30" s="36" t="inlineStr">
        <is>
          <t>IT-Dienstleistung</t>
        </is>
      </c>
      <c r="D30" s="36" t="inlineStr">
        <is>
          <t>Karlsruhe</t>
        </is>
      </c>
      <c r="E30" s="19" t="inlineStr">
        <is>
          <t>Eigenes Portal</t>
        </is>
      </c>
      <c r="F30" s="19" t="inlineStr">
        <is>
          <t>https://karriere.atruvia.de/</t>
        </is>
      </c>
    </row>
    <row r="31" ht="14.25" customHeight="1" s="20">
      <c r="A31" s="36" t="inlineStr">
        <is>
          <t>AZO GmbH &amp; Co. KG</t>
        </is>
      </c>
      <c r="B31" s="36" t="n">
        <v>1067</v>
      </c>
      <c r="C31" s="36" t="inlineStr">
        <is>
          <t>Maschinen- und Anlagenbau</t>
        </is>
      </c>
      <c r="D31" s="36" t="inlineStr">
        <is>
          <t>Osterburken</t>
        </is>
      </c>
    </row>
    <row r="32" ht="14.25" customHeight="1" s="20">
      <c r="A32" s="36" t="inlineStr">
        <is>
          <t>badenova AG &amp; Co. KG</t>
        </is>
      </c>
      <c r="B32" s="36" t="n">
        <v>1405</v>
      </c>
      <c r="C32" s="36" t="inlineStr">
        <is>
          <t>Versorgungsdienstleistungen</t>
        </is>
      </c>
      <c r="D32" s="36" t="inlineStr">
        <is>
          <t>Freiburg im Breisgau</t>
        </is>
      </c>
    </row>
    <row r="33" ht="14.25" customHeight="1" s="20">
      <c r="A33" s="36" t="inlineStr">
        <is>
          <t>BALLUFF GmbH</t>
        </is>
      </c>
      <c r="B33" s="36" t="n">
        <v>3900</v>
      </c>
      <c r="C33" s="36" t="inlineStr">
        <is>
          <t>Elektrotechnik/Sensorik</t>
        </is>
      </c>
      <c r="D33" s="36" t="inlineStr">
        <is>
          <t>Neuhausen auf den Fildern</t>
        </is>
      </c>
    </row>
    <row r="34" ht="14.25" customHeight="1" s="20">
      <c r="A34" s="36" t="inlineStr">
        <is>
          <t>Bardusch GmbH &amp; Co. KG</t>
        </is>
      </c>
      <c r="B34" s="36" t="n">
        <v>2475</v>
      </c>
      <c r="C34" s="36" t="inlineStr">
        <is>
          <t>Textilmietdienste</t>
        </is>
      </c>
      <c r="D34" s="36" t="inlineStr">
        <is>
          <t>Ettlingen</t>
        </is>
      </c>
    </row>
    <row r="35" ht="14.25" customHeight="1" s="20">
      <c r="A35" s="36" t="inlineStr">
        <is>
          <t>BAUHAUS AG - ZN Mannheim</t>
        </is>
      </c>
      <c r="B35" s="36" t="n">
        <v>15227</v>
      </c>
      <c r="C35" s="36" t="inlineStr">
        <is>
          <t>Baumärkte</t>
        </is>
      </c>
      <c r="D35" s="36" t="inlineStr">
        <is>
          <t>Belp (CH)</t>
        </is>
      </c>
      <c r="E35" s="19" t="inlineStr">
        <is>
          <t>Eigenes Portal</t>
        </is>
      </c>
      <c r="F35" s="19" t="inlineStr">
        <is>
          <t>https://bewerben.bauhaus.info/</t>
        </is>
      </c>
    </row>
    <row r="36" ht="14.25" customHeight="1" s="20">
      <c r="A36" s="36" t="inlineStr">
        <is>
          <t>Bausch+Ströbel SE + Co. KG</t>
        </is>
      </c>
      <c r="B36" s="36" t="n">
        <v>2850</v>
      </c>
      <c r="C36" s="36" t="inlineStr">
        <is>
          <t>Maschinenbau</t>
        </is>
      </c>
      <c r="D36" s="36" t="inlineStr">
        <is>
          <t>Ilshofen</t>
        </is>
      </c>
    </row>
    <row r="37" ht="14.25" customHeight="1" s="20">
      <c r="A37" s="36" t="inlineStr">
        <is>
          <t>BBBank eG</t>
        </is>
      </c>
      <c r="B37" s="36" t="n">
        <v>1328</v>
      </c>
      <c r="C37" s="36" t="inlineStr">
        <is>
          <t>Banken und Finanzdienstleistungen</t>
        </is>
      </c>
      <c r="D37" s="36" t="inlineStr">
        <is>
          <t>Karlsruhe</t>
        </is>
      </c>
    </row>
    <row r="38" ht="14.25" customHeight="1" s="20">
      <c r="A38" s="36" t="inlineStr">
        <is>
          <t>Bechtle AG</t>
        </is>
      </c>
      <c r="B38" s="36" t="n">
        <v>15306</v>
      </c>
      <c r="C38" s="36" t="inlineStr">
        <is>
          <t>Informationstechnologie</t>
        </is>
      </c>
      <c r="D38" s="36" t="inlineStr">
        <is>
          <t>Neckarsulm</t>
        </is>
      </c>
      <c r="E38" s="19" t="inlineStr">
        <is>
          <t>Eigenes Portal</t>
        </is>
      </c>
      <c r="F38" s="19" t="inlineStr">
        <is>
          <t>https://jobs.bechtle.com/</t>
        </is>
      </c>
    </row>
    <row r="39" ht="14.25" customHeight="1" s="20">
      <c r="A39" s="36" t="inlineStr">
        <is>
          <t>BERNER Group</t>
        </is>
      </c>
      <c r="B39" s="36" t="n">
        <v>8000</v>
      </c>
      <c r="C39" s="36" t="inlineStr">
        <is>
          <t>B2B-Handelsunternehmen</t>
        </is>
      </c>
      <c r="D39" s="36" t="inlineStr">
        <is>
          <t>Künzelsau</t>
        </is>
      </c>
      <c r="E39" s="19" t="inlineStr">
        <is>
          <t>Eigenes Portal</t>
        </is>
      </c>
      <c r="F39" s="19" t="inlineStr">
        <is>
          <t>https://www.berner-group.com/karriere</t>
        </is>
      </c>
    </row>
    <row r="40" ht="14.25" customHeight="1" s="20">
      <c r="A40" s="36" t="inlineStr">
        <is>
          <t>Bertrandt AG</t>
        </is>
      </c>
      <c r="B40" s="36" t="n">
        <v>14276</v>
      </c>
      <c r="C40" s="36" t="inlineStr">
        <is>
          <t>Ingenieurdienstleistungen</t>
        </is>
      </c>
      <c r="D40" s="36" t="inlineStr">
        <is>
          <t>Ehningen</t>
        </is>
      </c>
      <c r="E40" s="19" t="inlineStr">
        <is>
          <t>SAP SuccessFactors</t>
        </is>
      </c>
      <c r="F40" s="19" t="inlineStr">
        <is>
          <t>https://www.bertrandt.com/karriere</t>
        </is>
      </c>
    </row>
    <row r="41" ht="14.25" customHeight="1" s="20">
      <c r="A41" s="36" t="inlineStr">
        <is>
          <t>Beurer GmbH</t>
        </is>
      </c>
      <c r="B41" s="36" t="n">
        <v>1800</v>
      </c>
      <c r="C41" s="36" t="inlineStr">
        <is>
          <t>Gesundheit und Wohlbefinden</t>
        </is>
      </c>
      <c r="D41" s="36" t="inlineStr">
        <is>
          <t>Ulm</t>
        </is>
      </c>
    </row>
    <row r="42" ht="14.25" customHeight="1" s="20">
      <c r="A42" s="36" t="inlineStr">
        <is>
          <t>Bilfinger SE</t>
        </is>
      </c>
      <c r="B42" s="36" t="n">
        <v>30000</v>
      </c>
      <c r="C42" s="36" t="inlineStr">
        <is>
          <t>Industriedienstleistungen</t>
        </is>
      </c>
      <c r="D42" s="36" t="inlineStr">
        <is>
          <t>Mannheim</t>
        </is>
      </c>
      <c r="E42" s="19" t="inlineStr">
        <is>
          <t>Eigenes Portal</t>
        </is>
      </c>
      <c r="F42" s="19" t="inlineStr">
        <is>
          <t>https://jobs.bilfinger.com/</t>
        </is>
      </c>
    </row>
    <row r="43" ht="14.25" customHeight="1" s="20">
      <c r="A43" s="36" t="inlineStr">
        <is>
          <t>Biologische Heilmittel Heel GmbH</t>
        </is>
      </c>
      <c r="B43" s="36" t="n">
        <v>1300</v>
      </c>
      <c r="C43" s="36" t="inlineStr">
        <is>
          <t>Pharma</t>
        </is>
      </c>
      <c r="D43" s="36" t="inlineStr">
        <is>
          <t>Baden-Baden</t>
        </is>
      </c>
    </row>
    <row r="44" ht="14.25" customHeight="1" s="20">
      <c r="A44" s="36" t="inlineStr">
        <is>
          <t>Bizerba</t>
        </is>
      </c>
      <c r="B44" s="36" t="n">
        <v>4100</v>
      </c>
      <c r="C44" s="36" t="inlineStr">
        <is>
          <t>Wiege- und Schneidetechnik</t>
        </is>
      </c>
      <c r="D44" s="36" t="inlineStr">
        <is>
          <t>Balingen</t>
        </is>
      </c>
    </row>
    <row r="45" ht="14.25" customHeight="1" s="20">
      <c r="A45" s="36" t="inlineStr">
        <is>
          <t>Blanc &amp; Fischer Familienholding SE &amp; Co. KGaA</t>
        </is>
      </c>
      <c r="B45" s="36" t="n">
        <v>7977</v>
      </c>
      <c r="C45" s="36" t="inlineStr">
        <is>
          <t>Küchentechnik</t>
        </is>
      </c>
      <c r="D45" s="36" t="inlineStr">
        <is>
          <t>Oberderdingen</t>
        </is>
      </c>
    </row>
    <row r="46" ht="14.25" customHeight="1" s="20">
      <c r="A46" s="36" t="inlineStr">
        <is>
          <t>BLANCO GmbH + Co KG</t>
        </is>
      </c>
      <c r="B46" s="36" t="n">
        <v>1500</v>
      </c>
      <c r="C46" s="36" t="inlineStr">
        <is>
          <t>Küchentechnik</t>
        </is>
      </c>
      <c r="D46" s="36" t="inlineStr">
        <is>
          <t>Oberderdingen</t>
        </is>
      </c>
    </row>
    <row r="47" ht="14.25" customHeight="1" s="20">
      <c r="A47" s="36" t="inlineStr">
        <is>
          <t>Boehringer Ingelheim</t>
        </is>
      </c>
      <c r="B47" s="36" t="n">
        <v>53500</v>
      </c>
      <c r="C47" s="36" t="inlineStr">
        <is>
          <t>Pharmazeutische Industrie</t>
        </is>
      </c>
      <c r="D47" s="36" t="inlineStr">
        <is>
          <t>Biberach an der Riß</t>
        </is>
      </c>
      <c r="E47" s="19" t="inlineStr">
        <is>
          <t>Eigenes Portal</t>
        </is>
      </c>
      <c r="F47" s="19" t="inlineStr">
        <is>
          <t>https://careers.boehringer-ingelheim.com/</t>
        </is>
      </c>
    </row>
    <row r="48" ht="14.25" customHeight="1" s="20">
      <c r="A48" s="36" t="inlineStr">
        <is>
          <t>Bosch Engineering GmbH</t>
        </is>
      </c>
      <c r="B48" s="36" t="n">
        <v>3300</v>
      </c>
      <c r="C48" s="36" t="inlineStr">
        <is>
          <t>Technologie-/Dienstleistungsunternehmen</t>
        </is>
      </c>
      <c r="D48" s="36" t="inlineStr">
        <is>
          <t>Abstatt</t>
        </is>
      </c>
    </row>
    <row r="49" ht="14.25" customHeight="1" s="20">
      <c r="A49" s="36" t="inlineStr">
        <is>
          <t>Boysen Gruppe</t>
        </is>
      </c>
      <c r="B49" s="36" t="n">
        <v>5300</v>
      </c>
      <c r="C49" s="36" t="inlineStr">
        <is>
          <t>Fahrzeugtechnik</t>
        </is>
      </c>
      <c r="D49" s="36" t="inlineStr">
        <is>
          <t>Altensteig</t>
        </is>
      </c>
      <c r="E49" s="19" t="inlineStr">
        <is>
          <t>join.com</t>
        </is>
      </c>
      <c r="F49" s="19" t="inlineStr">
        <is>
          <t>https://join.com/companies/boysen</t>
        </is>
      </c>
    </row>
    <row r="50" ht="14.25" customHeight="1" s="20">
      <c r="A50" s="36" t="inlineStr">
        <is>
          <t>Braun Möbel-Center GmbH &amp; Co. KG</t>
        </is>
      </c>
      <c r="B50" s="36" t="n">
        <v>1000</v>
      </c>
      <c r="C50" s="36" t="inlineStr">
        <is>
          <t>Möbelhandel</t>
        </is>
      </c>
      <c r="D50" s="36" t="inlineStr">
        <is>
          <t>Reutlingen</t>
        </is>
      </c>
    </row>
    <row r="51" ht="14.25" customHeight="1" s="20">
      <c r="A51" s="36" t="inlineStr">
        <is>
          <t>Breer Gebäudedienste Heidelberg GmbH</t>
        </is>
      </c>
      <c r="B51" s="36" t="n">
        <v>1672</v>
      </c>
      <c r="C51" s="36" t="inlineStr">
        <is>
          <t>Gebäudedienstleistungen</t>
        </is>
      </c>
      <c r="D51" s="36" t="inlineStr">
        <is>
          <t>Heidelberg</t>
        </is>
      </c>
    </row>
    <row r="52" ht="14.25" customHeight="1" s="20">
      <c r="A52" s="36" t="inlineStr">
        <is>
          <t>Brucklacher Group</t>
        </is>
      </c>
      <c r="B52" s="36" t="n">
        <v>4000</v>
      </c>
      <c r="C52" s="36" t="inlineStr">
        <is>
          <t>Präzisionswerkzeuge</t>
        </is>
      </c>
      <c r="D52" s="36" t="inlineStr">
        <is>
          <t>Oberkochen</t>
        </is>
      </c>
    </row>
    <row r="53" ht="14.25" customHeight="1" s="20">
      <c r="A53" s="36" t="inlineStr">
        <is>
          <t>Bucher Hydraulics</t>
        </is>
      </c>
      <c r="B53" s="36" t="n">
        <v>3000</v>
      </c>
      <c r="C53" s="36" t="inlineStr">
        <is>
          <t>Hydraulische Antriebstechnik</t>
        </is>
      </c>
      <c r="D53" s="36" t="inlineStr">
        <is>
          <t>Klettgau</t>
        </is>
      </c>
    </row>
    <row r="54" ht="14.25" customHeight="1" s="20">
      <c r="A54" s="36" t="inlineStr">
        <is>
          <t>BÜRGER GmbH &amp; Co. KG</t>
        </is>
      </c>
      <c r="B54" s="36" t="n">
        <v>1200</v>
      </c>
      <c r="C54" s="36" t="inlineStr">
        <is>
          <t>Lebensmittelindustrie</t>
        </is>
      </c>
      <c r="D54" s="36" t="inlineStr">
        <is>
          <t>Ditzingen</t>
        </is>
      </c>
    </row>
    <row r="55" ht="14.25" customHeight="1" s="20">
      <c r="A55" s="36" t="inlineStr">
        <is>
          <t>Bürkert Fluid Control Systems</t>
        </is>
      </c>
      <c r="B55" s="36" t="n">
        <v>3700</v>
      </c>
      <c r="C55" s="36" t="inlineStr">
        <is>
          <t>Mess-, Steuer- und Regelungstechnik</t>
        </is>
      </c>
      <c r="D55" s="36" t="inlineStr">
        <is>
          <t>Ingelfingen</t>
        </is>
      </c>
    </row>
    <row r="56" ht="14.25" customHeight="1" s="20">
      <c r="A56" s="36" t="inlineStr">
        <is>
          <t>C.E. Noerpel GmbH</t>
        </is>
      </c>
      <c r="B56" s="36" t="n">
        <v>1850</v>
      </c>
      <c r="C56" s="36" t="inlineStr">
        <is>
          <t>Spedition, Transport, Logistik</t>
        </is>
      </c>
      <c r="D56" s="36" t="inlineStr">
        <is>
          <t>Ulm</t>
        </is>
      </c>
    </row>
    <row r="57" ht="14.25" customHeight="1" s="20">
      <c r="A57" s="36" t="inlineStr">
        <is>
          <t>Carl Stahl Holding GmbH</t>
        </is>
      </c>
      <c r="B57" s="36" t="n">
        <v>1800</v>
      </c>
      <c r="C57" s="36" t="inlineStr">
        <is>
          <t>Seil- und Hebetechnik</t>
        </is>
      </c>
      <c r="D57" s="36" t="inlineStr">
        <is>
          <t>Süßen</t>
        </is>
      </c>
    </row>
    <row r="58" ht="14.25" customHeight="1" s="20">
      <c r="A58" s="36" t="inlineStr">
        <is>
          <t>CeramTec GmbH</t>
        </is>
      </c>
      <c r="B58" s="36" t="n">
        <v>3800</v>
      </c>
      <c r="C58" s="36" t="inlineStr">
        <is>
          <t>Technische Keramik</t>
        </is>
      </c>
      <c r="D58" s="36" t="inlineStr">
        <is>
          <t>Plochingen</t>
        </is>
      </c>
    </row>
    <row r="59" ht="14.25" customHeight="1" s="20">
      <c r="A59" s="36" t="inlineStr">
        <is>
          <t>CGI Deutschland B.V. &amp; Co. KG</t>
        </is>
      </c>
      <c r="B59" s="36" t="n">
        <v>90000</v>
      </c>
      <c r="C59" s="36" t="inlineStr">
        <is>
          <t>IT-Dienstleistungen und Beratung</t>
        </is>
      </c>
      <c r="D59" s="36" t="inlineStr">
        <is>
          <t>Leinfelden-Echterdingen</t>
        </is>
      </c>
      <c r="E59" s="19" t="inlineStr">
        <is>
          <t>Njoyn</t>
        </is>
      </c>
      <c r="F59" s="19" t="inlineStr">
        <is>
          <t>https://www.cgi.com/de/de/karriere</t>
        </is>
      </c>
    </row>
    <row r="60" ht="14.25" customHeight="1" s="20">
      <c r="A60" s="36" t="inlineStr">
        <is>
          <t>Chemoform AG</t>
        </is>
      </c>
      <c r="B60" s="36" t="n">
        <v>1200</v>
      </c>
      <c r="C60" s="36" t="inlineStr">
        <is>
          <t>Wellness und Fitness</t>
        </is>
      </c>
      <c r="D60" s="36" t="inlineStr">
        <is>
          <t>Wendlingen am Neckar</t>
        </is>
      </c>
    </row>
    <row r="61" ht="14.25" customHeight="1" s="20">
      <c r="A61" s="36" t="inlineStr">
        <is>
          <t>CHIRON Group SE</t>
        </is>
      </c>
      <c r="B61" s="36" t="n">
        <v>1900</v>
      </c>
      <c r="C61" s="36" t="inlineStr">
        <is>
          <t>Maschinen- und Anlagenbau</t>
        </is>
      </c>
      <c r="D61" s="36" t="inlineStr">
        <is>
          <t>Tuttlingen</t>
        </is>
      </c>
    </row>
    <row r="62" ht="14.25" customHeight="1" s="20">
      <c r="A62" s="36" t="inlineStr">
        <is>
          <t>Christophsbad GmbH &amp; Co. Fachkrankenhaus KG</t>
        </is>
      </c>
      <c r="B62" s="36" t="n">
        <v>1700</v>
      </c>
      <c r="C62" s="36" t="inlineStr">
        <is>
          <t>Dienstleistungen</t>
        </is>
      </c>
      <c r="D62" s="36" t="inlineStr">
        <is>
          <t>Göppingen</t>
        </is>
      </c>
    </row>
    <row r="63" ht="14.25" customHeight="1" s="20">
      <c r="A63" s="36" t="inlineStr">
        <is>
          <t>CHT Germany GmbH</t>
        </is>
      </c>
      <c r="B63" s="36" t="n">
        <v>2501</v>
      </c>
      <c r="C63" s="36" t="inlineStr">
        <is>
          <t>Chemie</t>
        </is>
      </c>
      <c r="D63" s="36" t="inlineStr">
        <is>
          <t>Tübingen</t>
        </is>
      </c>
    </row>
    <row r="64" ht="14.25" customHeight="1" s="20">
      <c r="A64" s="36" t="inlineStr">
        <is>
          <t>compassio Gruppe</t>
        </is>
      </c>
      <c r="B64" s="36" t="n">
        <v>8450</v>
      </c>
      <c r="C64" s="36" t="inlineStr">
        <is>
          <t>Gesundheitswesen</t>
        </is>
      </c>
      <c r="D64" s="36" t="inlineStr">
        <is>
          <t>Ulm</t>
        </is>
      </c>
      <c r="E64" s="19" t="inlineStr">
        <is>
          <t>Eigenes Portal</t>
        </is>
      </c>
      <c r="F64" s="19" t="inlineStr">
        <is>
          <t>https://karriere.compassio.de/</t>
        </is>
      </c>
    </row>
    <row r="65" ht="14.25" customHeight="1" s="20">
      <c r="A65" s="36" t="inlineStr">
        <is>
          <t>Conductix-Wampfler GmbH</t>
        </is>
      </c>
      <c r="B65" s="36" t="n">
        <v>1100</v>
      </c>
      <c r="C65" s="36" t="inlineStr">
        <is>
          <t>Energieversorgung/Datenübertragung</t>
        </is>
      </c>
      <c r="D65" s="36" t="inlineStr">
        <is>
          <t>Weil am Rhein</t>
        </is>
      </c>
    </row>
    <row r="66" ht="14.25" customHeight="1" s="20">
      <c r="A66" s="36" t="inlineStr">
        <is>
          <t>confern Möbeltransportbetriebe GmbH</t>
        </is>
      </c>
      <c r="B66" s="36" t="n">
        <v>1900</v>
      </c>
      <c r="C66" s="36" t="inlineStr">
        <is>
          <t>Spedition</t>
        </is>
      </c>
      <c r="D66" s="36" t="inlineStr">
        <is>
          <t>Mannheim</t>
        </is>
      </c>
    </row>
    <row r="67" ht="14.25" customHeight="1" s="20">
      <c r="A67" s="36" t="inlineStr">
        <is>
          <t>Constellium Singen GmbH</t>
        </is>
      </c>
      <c r="B67" s="36" t="n">
        <v>2500</v>
      </c>
      <c r="C67" s="36" t="inlineStr">
        <is>
          <t>Metallverarbeitung</t>
        </is>
      </c>
      <c r="D67" s="36" t="inlineStr">
        <is>
          <t>Singen</t>
        </is>
      </c>
    </row>
    <row r="68" ht="14.25" customHeight="1" s="20">
      <c r="A68" s="36" t="inlineStr">
        <is>
          <t>Continental Aktiengesellschaft</t>
        </is>
      </c>
      <c r="B68" s="36" t="n">
        <v>200000</v>
      </c>
      <c r="C68" s="36" t="inlineStr">
        <is>
          <t>Automobilzulieferer</t>
        </is>
      </c>
      <c r="D68" s="36" t="inlineStr">
        <is>
          <t>Hannover</t>
        </is>
      </c>
      <c r="E68" s="19" t="inlineStr">
        <is>
          <t>SmartRecruiters</t>
        </is>
      </c>
      <c r="F68" s="19" t="inlineStr">
        <is>
          <t>https://jobs.continental.com/de/</t>
        </is>
      </c>
      <c r="G68" s="19" t="inlineStr">
        <is>
          <t>https://api.smartrecruiters.com/v1/companies/continental/postings</t>
        </is>
      </c>
    </row>
    <row r="69" ht="14.25" customHeight="1" s="20">
      <c r="A69" s="36" t="inlineStr">
        <is>
          <t>CRONIMET Holding GmbH</t>
        </is>
      </c>
      <c r="B69" s="36" t="n">
        <v>1709</v>
      </c>
      <c r="C69" s="36" t="inlineStr">
        <is>
          <t>Recycling, Metalle</t>
        </is>
      </c>
      <c r="D69" s="36" t="inlineStr">
        <is>
          <t>Karlsruhe</t>
        </is>
      </c>
    </row>
    <row r="70" ht="14.25" customHeight="1" s="20">
      <c r="A70" s="36" t="inlineStr">
        <is>
          <t>Daimler Buses GmbH</t>
        </is>
      </c>
      <c r="B70" s="36" t="n">
        <v>15480</v>
      </c>
      <c r="C70" s="36" t="inlineStr">
        <is>
          <t>Nutzfahrzeug-Hersteller</t>
        </is>
      </c>
      <c r="D70" s="36" t="inlineStr">
        <is>
          <t>Leinfelden-Echterdingen</t>
        </is>
      </c>
      <c r="E70" s="19" t="inlineStr">
        <is>
          <t>Eigenes Portal</t>
        </is>
      </c>
      <c r="F70" s="19" t="inlineStr">
        <is>
          <t>https://solutions.buses.daimlertruck.com/karriere</t>
        </is>
      </c>
    </row>
    <row r="71" ht="14.25" customHeight="1" s="20">
      <c r="A71" s="36" t="inlineStr">
        <is>
          <t>Daimler Truck AG</t>
        </is>
      </c>
      <c r="B71" s="36" t="n">
        <v>104400</v>
      </c>
      <c r="C71" s="36" t="inlineStr">
        <is>
          <t>Nutzfahrzeug-Hersteller</t>
        </is>
      </c>
      <c r="D71" s="36" t="inlineStr">
        <is>
          <t>Leinfelden-Echterdingen</t>
        </is>
      </c>
      <c r="E71" s="19" t="inlineStr">
        <is>
          <t>Eigenes Portal</t>
        </is>
      </c>
      <c r="F71" s="19" t="inlineStr">
        <is>
          <t>https://www.daimlertruck.com/karriere</t>
        </is>
      </c>
    </row>
    <row r="72" ht="14.25" customHeight="1" s="20">
      <c r="A72" s="36" t="inlineStr">
        <is>
          <t>DATAGROUP</t>
        </is>
      </c>
      <c r="B72" s="36" t="n">
        <v>3500</v>
      </c>
      <c r="C72" s="36" t="inlineStr">
        <is>
          <t>IT-Dienstleistungen</t>
        </is>
      </c>
      <c r="D72" s="36" t="inlineStr">
        <is>
          <t>Pliezhausen</t>
        </is>
      </c>
    </row>
    <row r="73" ht="14.25" customHeight="1" s="20">
      <c r="A73" s="36" t="inlineStr">
        <is>
          <t>DEKRA</t>
        </is>
      </c>
      <c r="B73" s="36" t="n">
        <v>48833</v>
      </c>
      <c r="C73" s="36" t="inlineStr">
        <is>
          <t>Technische Dienstleistungen</t>
        </is>
      </c>
      <c r="D73" s="36" t="inlineStr">
        <is>
          <t>Stuttgart</t>
        </is>
      </c>
      <c r="E73" s="19" t="inlineStr">
        <is>
          <t>Eigenes Portal</t>
        </is>
      </c>
      <c r="F73" s="19" t="inlineStr">
        <is>
          <t>https://jobs.dekra.com/</t>
        </is>
      </c>
    </row>
    <row r="74" ht="14.25" customHeight="1" s="20">
      <c r="A74" s="36" t="inlineStr">
        <is>
          <t>Deutsche Bahn AG</t>
        </is>
      </c>
      <c r="B74" s="36" t="n">
        <v>340100</v>
      </c>
      <c r="C74" s="36" t="inlineStr">
        <is>
          <t>Verkehrswirtschaft</t>
        </is>
      </c>
      <c r="D74" s="36" t="inlineStr">
        <is>
          <t>Berlin</t>
        </is>
      </c>
      <c r="E74" s="19" t="inlineStr">
        <is>
          <t>Eigenes Portal</t>
        </is>
      </c>
      <c r="F74" s="19" t="inlineStr">
        <is>
          <t>https://db.jobs/de-de</t>
        </is>
      </c>
    </row>
    <row r="75" ht="14.25" customHeight="1" s="20">
      <c r="A75" s="36" t="inlineStr">
        <is>
          <t>Deutsche Bausparkasse Badenia AG</t>
        </is>
      </c>
      <c r="B75" s="36" t="n">
        <v>442</v>
      </c>
      <c r="C75" s="36" t="inlineStr">
        <is>
          <t>Bausparkasse</t>
        </is>
      </c>
      <c r="D75" s="36" t="inlineStr">
        <is>
          <t>Karlsruhe</t>
        </is>
      </c>
    </row>
    <row r="76" ht="14.25" customHeight="1" s="20">
      <c r="A76" s="36" t="inlineStr">
        <is>
          <t>Diakonie in Baden-Württemberg</t>
        </is>
      </c>
      <c r="B76" s="36" t="n">
        <v>90000</v>
      </c>
      <c r="C76" s="36" t="inlineStr">
        <is>
          <t>Wohlfahrtspflege</t>
        </is>
      </c>
      <c r="D76" s="36" t="inlineStr">
        <is>
          <t>Stuttgart</t>
        </is>
      </c>
    </row>
    <row r="77" ht="14.25" customHeight="1" s="20">
      <c r="A77" s="36" t="inlineStr">
        <is>
          <t>DIEFFENBACHER GmbH</t>
        </is>
      </c>
      <c r="B77" s="36" t="n">
        <v>1850</v>
      </c>
      <c r="C77" s="36" t="inlineStr">
        <is>
          <t>Maschinen- und Anlagenbau</t>
        </is>
      </c>
      <c r="D77" s="36" t="inlineStr">
        <is>
          <t>Eppingen</t>
        </is>
      </c>
    </row>
    <row r="78" ht="14.25" customHeight="1" s="20">
      <c r="A78" s="36" t="inlineStr">
        <is>
          <t>Diehl Aviation Laupheim GmbH</t>
        </is>
      </c>
      <c r="B78" s="36" t="n">
        <v>2600</v>
      </c>
      <c r="C78" s="36" t="inlineStr">
        <is>
          <t>Luft- und Raumfahrzeugbau</t>
        </is>
      </c>
      <c r="D78" s="36" t="inlineStr">
        <is>
          <t>Laupheim</t>
        </is>
      </c>
    </row>
    <row r="79" ht="14.25" customHeight="1" s="20">
      <c r="A79" s="36" t="inlineStr">
        <is>
          <t>DIRINGER &amp; SCHEIDEL Unternehmensgruppe</t>
        </is>
      </c>
      <c r="B79" s="36" t="n">
        <v>4200</v>
      </c>
      <c r="C79" s="36" t="inlineStr">
        <is>
          <t>Baugewerbe, Immobilien</t>
        </is>
      </c>
      <c r="D79" s="36" t="inlineStr">
        <is>
          <t>Mannheim</t>
        </is>
      </c>
      <c r="E79" t="inlineStr">
        <is>
          <t>Eigenes Portal</t>
        </is>
      </c>
      <c r="F79" t="inlineStr">
        <is>
          <t>https://www.dus-karriere.de/</t>
        </is>
      </c>
    </row>
    <row r="80" ht="14.25" customHeight="1" s="20">
      <c r="A80" s="36" t="inlineStr">
        <is>
          <t>dm-drogerie markt GmbH + Co. KG</t>
        </is>
      </c>
      <c r="B80" s="36" t="n">
        <v>51359</v>
      </c>
      <c r="C80" s="36" t="inlineStr">
        <is>
          <t>Drogerieeinzelhandel</t>
        </is>
      </c>
      <c r="D80" s="36" t="inlineStr">
        <is>
          <t>Karlsruhe</t>
        </is>
      </c>
      <c r="E80" s="19" t="inlineStr">
        <is>
          <t>SAP SuccessFactors</t>
        </is>
      </c>
      <c r="F80" s="19" t="inlineStr">
        <is>
          <t>https://www.dm-jobs.de/</t>
        </is>
      </c>
    </row>
    <row r="81" ht="14.25" customHeight="1" s="20">
      <c r="A81" s="36" t="inlineStr">
        <is>
          <t>Dr. Ing. h.c. F. Porsche AG</t>
        </is>
      </c>
      <c r="B81" s="36" t="n">
        <v>41000</v>
      </c>
      <c r="C81" s="36" t="inlineStr">
        <is>
          <t>Automobilhersteller</t>
        </is>
      </c>
      <c r="D81" s="36" t="inlineStr">
        <is>
          <t>Stuttgart</t>
        </is>
      </c>
      <c r="E81" s="19" t="inlineStr">
        <is>
          <t>Eigenes Career-Portal</t>
        </is>
      </c>
      <c r="F81" s="19" t="inlineStr">
        <is>
          <t>https://jobs.porsche.com/</t>
        </is>
      </c>
    </row>
    <row r="82" ht="14.25" customHeight="1" s="20">
      <c r="A82" s="36" t="inlineStr">
        <is>
          <t>Drees &amp; Sommer SE</t>
        </is>
      </c>
      <c r="B82" s="36" t="n">
        <v>6042</v>
      </c>
      <c r="C82" s="36" t="inlineStr">
        <is>
          <t>Beratung, Planung, Projektmanagement</t>
        </is>
      </c>
      <c r="D82" s="36" t="inlineStr">
        <is>
          <t>Stuttgart</t>
        </is>
      </c>
      <c r="E82" s="19" t="inlineStr">
        <is>
          <t>Eigenes Portal</t>
        </is>
      </c>
      <c r="F82" s="19" t="inlineStr">
        <is>
          <t>https://career.dreso.com/de/</t>
        </is>
      </c>
    </row>
    <row r="83" ht="14.25" customHeight="1" s="20">
      <c r="A83" s="36" t="inlineStr">
        <is>
          <t>DSV-Gruppe (Deutscher Sparkassenverlag)</t>
        </is>
      </c>
      <c r="B83" s="36" t="n">
        <v>2560</v>
      </c>
      <c r="C83" s="36" t="inlineStr">
        <is>
          <t>Dienstleistung</t>
        </is>
      </c>
      <c r="D83" s="36" t="inlineStr">
        <is>
          <t>Stuttgart</t>
        </is>
      </c>
    </row>
    <row r="84" ht="14.25" customHeight="1" s="20">
      <c r="A84" s="36" t="inlineStr">
        <is>
          <t>Dunkermotoren GmbH</t>
        </is>
      </c>
      <c r="B84" s="36" t="n">
        <v>1250</v>
      </c>
      <c r="C84" s="36" t="inlineStr">
        <is>
          <t>Antriebstechnologie</t>
        </is>
      </c>
      <c r="D84" s="36" t="inlineStr">
        <is>
          <t>Bonndorf</t>
        </is>
      </c>
    </row>
    <row r="85" ht="14.25" customHeight="1" s="20">
      <c r="A85" s="36" t="inlineStr">
        <is>
          <t>Duravit AG</t>
        </is>
      </c>
      <c r="B85" s="36" t="n">
        <v>7239</v>
      </c>
      <c r="C85" s="36" t="inlineStr">
        <is>
          <t>Sanitärprodukte</t>
        </is>
      </c>
      <c r="D85" s="36" t="inlineStr">
        <is>
          <t>Hornberg</t>
        </is>
      </c>
      <c r="E85" s="19" t="inlineStr">
        <is>
          <t>Eigenes Portal</t>
        </is>
      </c>
      <c r="F85" s="19" t="inlineStr">
        <is>
          <t>https://jobs.duravit.de/eng</t>
        </is>
      </c>
    </row>
    <row r="86" ht="14.25" customHeight="1" s="20">
      <c r="A86" s="36" t="inlineStr">
        <is>
          <t>Dürr Aktiengesellschaft</t>
        </is>
      </c>
      <c r="B86" s="36" t="n">
        <v>20500</v>
      </c>
      <c r="C86" s="36" t="inlineStr">
        <is>
          <t>Maschinen- und Anlagenbau</t>
        </is>
      </c>
      <c r="D86" s="36" t="inlineStr">
        <is>
          <t>Stuttgart</t>
        </is>
      </c>
      <c r="E86" s="19" t="inlineStr">
        <is>
          <t>Eigenes Portal</t>
        </is>
      </c>
      <c r="F86" s="19" t="inlineStr">
        <is>
          <t>https://www.durr-group.com/de/karriere</t>
        </is>
      </c>
    </row>
    <row r="87" ht="14.25" customHeight="1" s="20">
      <c r="A87" s="36" t="inlineStr">
        <is>
          <t>Dussmann Service Deutschland GmbH</t>
        </is>
      </c>
      <c r="B87" s="36" t="n">
        <v>32700</v>
      </c>
      <c r="C87" s="36" t="inlineStr">
        <is>
          <t>Dienstleistungen</t>
        </is>
      </c>
      <c r="D87" s="36" t="inlineStr">
        <is>
          <t>Berlin</t>
        </is>
      </c>
      <c r="E87" s="19" t="inlineStr">
        <is>
          <t>Eigenes Portal</t>
        </is>
      </c>
      <c r="F87" s="19" t="inlineStr">
        <is>
          <t>https://de.dussmanngroup.com/karriere</t>
        </is>
      </c>
    </row>
    <row r="88" ht="14.25" customHeight="1" s="20">
      <c r="A88" s="36" t="inlineStr">
        <is>
          <t>E. Breuninger GmbH &amp; Co.</t>
        </is>
      </c>
      <c r="B88" s="36" t="n">
        <v>6500</v>
      </c>
      <c r="C88" s="36" t="inlineStr">
        <is>
          <t>Einzelhandel</t>
        </is>
      </c>
      <c r="D88" s="36" t="inlineStr">
        <is>
          <t>Stuttgart</t>
        </is>
      </c>
      <c r="E88" s="19" t="inlineStr">
        <is>
          <t>Eigenes Portal</t>
        </is>
      </c>
      <c r="F88" s="19" t="inlineStr">
        <is>
          <t>https://www.e-breuninger.de/de/karriere/stellenangebote/</t>
        </is>
      </c>
    </row>
    <row r="89" ht="14.25" customHeight="1" s="20">
      <c r="A89" s="36" t="inlineStr">
        <is>
          <t>Eberspächer Gruppe GmbH &amp; Co. KG</t>
        </is>
      </c>
      <c r="B89" s="36" t="n">
        <v>11171</v>
      </c>
      <c r="C89" s="36" t="inlineStr">
        <is>
          <t>Automobilzulieferer</t>
        </is>
      </c>
      <c r="D89" s="36" t="inlineStr">
        <is>
          <t>Esslingen am Neckar</t>
        </is>
      </c>
      <c r="E89" s="19" t="inlineStr">
        <is>
          <t>Eigenes Portal</t>
        </is>
      </c>
      <c r="F89" s="19" t="inlineStr">
        <is>
          <t>https://www.eberspaecher-career.com/</t>
        </is>
      </c>
    </row>
    <row r="90" ht="14.25" customHeight="1" s="20">
      <c r="A90" s="36" t="inlineStr">
        <is>
          <t>ebm-papst Gruppe</t>
        </is>
      </c>
      <c r="B90" s="36" t="n">
        <v>13800</v>
      </c>
      <c r="C90" s="36" t="inlineStr">
        <is>
          <t>Ventilatoren und Motoren</t>
        </is>
      </c>
      <c r="D90" s="36" t="inlineStr">
        <is>
          <t>Mulfingen</t>
        </is>
      </c>
      <c r="E90" s="19" t="inlineStr">
        <is>
          <t>Eigenes Portal</t>
        </is>
      </c>
      <c r="F90" s="19" t="inlineStr">
        <is>
          <t>https://karriere.de.ebmpapst.com/</t>
        </is>
      </c>
    </row>
    <row r="91" ht="14.25" customHeight="1" s="20">
      <c r="A91" s="36" t="inlineStr">
        <is>
          <t>Ebner Stolz</t>
        </is>
      </c>
      <c r="B91" s="36" t="n">
        <v>3400</v>
      </c>
      <c r="C91" s="36" t="inlineStr">
        <is>
          <t>Wirtschaftsprüfung/Steuerberatung</t>
        </is>
      </c>
      <c r="D91" s="36" t="inlineStr">
        <is>
          <t>Stuttgart</t>
        </is>
      </c>
    </row>
    <row r="92" ht="14.25" customHeight="1" s="20">
      <c r="A92" s="36" t="inlineStr">
        <is>
          <t>Ed. Züblin AG</t>
        </is>
      </c>
      <c r="B92" s="36" t="n">
        <v>15112</v>
      </c>
      <c r="C92" s="36" t="inlineStr">
        <is>
          <t>Bauwirtschaft</t>
        </is>
      </c>
      <c r="D92" s="36" t="inlineStr">
        <is>
          <t>Stuttgart</t>
        </is>
      </c>
      <c r="E92" s="19" t="inlineStr">
        <is>
          <t>Eigenes Portal</t>
        </is>
      </c>
      <c r="F92" s="19" t="inlineStr">
        <is>
          <t>https://www.zueblin.de/jobs-karriere</t>
        </is>
      </c>
    </row>
    <row r="93" ht="14.25" customHeight="1" s="20">
      <c r="A93" s="36" t="inlineStr">
        <is>
          <t>EDEKA Südwest e.G.</t>
        </is>
      </c>
      <c r="B93" s="36" t="n">
        <v>47000</v>
      </c>
      <c r="C93" s="36" t="inlineStr">
        <is>
          <t>Großhandel, Einzelhandel</t>
        </is>
      </c>
      <c r="D93" s="36" t="inlineStr">
        <is>
          <t>Offenburg</t>
        </is>
      </c>
      <c r="E93" s="19" t="inlineStr">
        <is>
          <t>Eigenes Portal</t>
        </is>
      </c>
      <c r="F93" s="19" t="inlineStr">
        <is>
          <t>https://karriere-edeka.de/</t>
        </is>
      </c>
    </row>
    <row r="94" ht="14.25" customHeight="1" s="20">
      <c r="A94" s="36" t="inlineStr">
        <is>
          <t>Edelmann Group</t>
        </is>
      </c>
      <c r="B94" s="36" t="n">
        <v>3000</v>
      </c>
      <c r="C94" s="36" t="inlineStr">
        <is>
          <t>Verpackungslösungen</t>
        </is>
      </c>
      <c r="D94" s="36" t="inlineStr">
        <is>
          <t>Heidenheim/Brenz</t>
        </is>
      </c>
    </row>
    <row r="95" ht="14.25" customHeight="1" s="20">
      <c r="A95" s="36" t="inlineStr">
        <is>
          <t>ElringKlinger AG</t>
        </is>
      </c>
      <c r="B95" s="36" t="n">
        <v>9600</v>
      </c>
      <c r="C95" s="36" t="inlineStr">
        <is>
          <t>Automobilzulieferer</t>
        </is>
      </c>
      <c r="D95" s="36" t="inlineStr">
        <is>
          <t>Dettingen an der Erms</t>
        </is>
      </c>
      <c r="E95" s="19" t="inlineStr">
        <is>
          <t>Eigenes Portal</t>
        </is>
      </c>
      <c r="F95" s="19" t="inlineStr">
        <is>
          <t>https://elringklinger.de/karriere</t>
        </is>
      </c>
    </row>
    <row r="96" ht="14.25" customHeight="1" s="20">
      <c r="A96" s="36" t="inlineStr">
        <is>
          <t>EMAG GmbH &amp; Co. KG</t>
        </is>
      </c>
      <c r="B96" s="36" t="n">
        <v>2500</v>
      </c>
      <c r="C96" s="36" t="inlineStr">
        <is>
          <t>Maschinenbau</t>
        </is>
      </c>
      <c r="D96" s="36" t="inlineStr">
        <is>
          <t>Salach</t>
        </is>
      </c>
    </row>
    <row r="97" ht="14.25" customHeight="1" s="20">
      <c r="A97" s="36" t="inlineStr">
        <is>
          <t>EnBW Energie Baden-Württemberg AG</t>
        </is>
      </c>
      <c r="B97" s="36" t="n">
        <v>30364</v>
      </c>
      <c r="C97" s="36" t="inlineStr">
        <is>
          <t>Energiewirtschaft</t>
        </is>
      </c>
      <c r="D97" s="36" t="inlineStr">
        <is>
          <t>Karlsruhe</t>
        </is>
      </c>
      <c r="F97" s="19" t="inlineStr">
        <is>
          <t>https://www.enbw.com/karriere/</t>
        </is>
      </c>
    </row>
    <row r="98" ht="14.25" customHeight="1" s="20">
      <c r="A98" s="36" t="inlineStr">
        <is>
          <t>Endress + Hauser SE + Co. KG</t>
        </is>
      </c>
      <c r="B98" s="36" t="n">
        <v>2807</v>
      </c>
      <c r="C98" s="36" t="inlineStr">
        <is>
          <t>Prozessautomatisierung</t>
        </is>
      </c>
      <c r="D98" s="36" t="inlineStr">
        <is>
          <t>Maulburg</t>
        </is>
      </c>
    </row>
    <row r="99" ht="14.25" customHeight="1" s="20">
      <c r="A99" s="36" t="inlineStr">
        <is>
          <t>Engelhorn GmbH &amp; Co. KGaA</t>
        </is>
      </c>
      <c r="B99" s="36" t="n">
        <v>1150</v>
      </c>
      <c r="C99" s="36" t="inlineStr">
        <is>
          <t>Einzelhandel</t>
        </is>
      </c>
      <c r="D99" s="36" t="inlineStr">
        <is>
          <t>Mannheim</t>
        </is>
      </c>
    </row>
    <row r="100" ht="14.25" customHeight="1" s="20">
      <c r="A100" s="36" t="inlineStr">
        <is>
          <t>Ensinger GmbH</t>
        </is>
      </c>
      <c r="B100" s="36" t="n">
        <v>2700</v>
      </c>
      <c r="C100" s="36" t="inlineStr">
        <is>
          <t>Kunststoffverarbeitung</t>
        </is>
      </c>
      <c r="D100" s="36" t="inlineStr">
        <is>
          <t>Nufringen</t>
        </is>
      </c>
    </row>
    <row r="101" ht="14.25" customHeight="1" s="20">
      <c r="A101" s="36" t="inlineStr">
        <is>
          <t>Erbe Elektromedizin GmbH</t>
        </is>
      </c>
      <c r="B101" s="36" t="n">
        <v>2000</v>
      </c>
      <c r="C101" s="36" t="inlineStr">
        <is>
          <t>Medizintechnik</t>
        </is>
      </c>
      <c r="D101" s="36" t="inlineStr">
        <is>
          <t>Tübingen</t>
        </is>
      </c>
    </row>
    <row r="102" ht="14.25" customHeight="1" s="20">
      <c r="A102" s="36" t="inlineStr">
        <is>
          <t>Ernst Klett AG/Klett Gruppe</t>
        </is>
      </c>
      <c r="B102" s="36" t="n">
        <v>10806</v>
      </c>
      <c r="C102" s="36" t="inlineStr">
        <is>
          <t>Bildungsbranche</t>
        </is>
      </c>
      <c r="D102" s="36" t="inlineStr">
        <is>
          <t>Stuttgart</t>
        </is>
      </c>
      <c r="E102" s="19" t="inlineStr">
        <is>
          <t>Eigenes Portal</t>
        </is>
      </c>
      <c r="F102" s="19" t="inlineStr">
        <is>
          <t>https://www.klett-gruppe.de/karriere/</t>
        </is>
      </c>
    </row>
    <row r="103" ht="14.25" customHeight="1" s="20">
      <c r="A103" s="36" t="inlineStr">
        <is>
          <t>Erwin Hymer Group SE</t>
        </is>
      </c>
      <c r="B103" s="36" t="n">
        <v>8900</v>
      </c>
      <c r="C103" s="36" t="inlineStr">
        <is>
          <t>Reisemobilbranche</t>
        </is>
      </c>
      <c r="D103" s="36" t="inlineStr">
        <is>
          <t>Bad Waldsee</t>
        </is>
      </c>
      <c r="E103" s="19" t="inlineStr">
        <is>
          <t>Eigenes Portal</t>
        </is>
      </c>
      <c r="F103" s="19" t="inlineStr">
        <is>
          <t>https://www.erwinhymergroup.com/karriere</t>
        </is>
      </c>
    </row>
    <row r="104" ht="14.25" customHeight="1" s="20">
      <c r="A104" s="36" t="inlineStr">
        <is>
          <t>Essity</t>
        </is>
      </c>
      <c r="B104" s="36" t="n">
        <v>36000</v>
      </c>
      <c r="C104" s="36" t="inlineStr">
        <is>
          <t>Hygiene- und Gesundheitsprodukte</t>
        </is>
      </c>
      <c r="D104" s="36" t="inlineStr">
        <is>
          <t>Mannheim</t>
        </is>
      </c>
      <c r="E104" s="19" t="inlineStr">
        <is>
          <t>Workday</t>
        </is>
      </c>
      <c r="F104" s="19" t="inlineStr">
        <is>
          <t>https://www.essity.com/careers/</t>
        </is>
      </c>
      <c r="G104" s="19" t="inlineStr">
        <is>
          <t>https://essity.wd3.myworkdayjobs.com/wday/cxs/essity/Job_opportunities/jobs</t>
        </is>
      </c>
    </row>
    <row r="105" ht="14.25" customHeight="1" s="20">
      <c r="A105" s="36" t="inlineStr">
        <is>
          <t>ETO GRUPPE TECHNOLOGIES GmbH</t>
        </is>
      </c>
      <c r="B105" s="36" t="n">
        <v>2509</v>
      </c>
      <c r="C105" s="36" t="inlineStr">
        <is>
          <t>Industrieelektronik</t>
        </is>
      </c>
      <c r="D105" s="36" t="inlineStr">
        <is>
          <t>Stockach</t>
        </is>
      </c>
    </row>
    <row r="106" ht="14.25" customHeight="1" s="20">
      <c r="A106" s="36" t="inlineStr">
        <is>
          <t>Eugen Kieffer Gebäudereinigung GmbH &amp; Co. KG</t>
        </is>
      </c>
      <c r="B106" s="36" t="n">
        <v>2040</v>
      </c>
      <c r="C106" s="36" t="inlineStr">
        <is>
          <t>Gebäudereinigung</t>
        </is>
      </c>
      <c r="D106" s="36" t="inlineStr">
        <is>
          <t>Steinheim am Albuch</t>
        </is>
      </c>
    </row>
    <row r="107" ht="14.25" customHeight="1" s="20">
      <c r="A107" s="36" t="inlineStr">
        <is>
          <t>EURONICS Deutschland eG</t>
        </is>
      </c>
      <c r="B107" s="36" t="n"/>
      <c r="C107" s="36" t="inlineStr">
        <is>
          <t>Elektrohaushaltsgeräte-Großhandel</t>
        </is>
      </c>
      <c r="D107" s="36" t="inlineStr">
        <is>
          <t>Ditzingen</t>
        </is>
      </c>
    </row>
    <row r="108" ht="14.25" customHeight="1" s="20">
      <c r="A108" s="36" t="inlineStr">
        <is>
          <t>Europa-Park Erlebnis-Resort</t>
        </is>
      </c>
      <c r="B108" s="36" t="n">
        <v>5000</v>
      </c>
      <c r="C108" s="36" t="inlineStr">
        <is>
          <t>Tourismus- und Freizeitbranche</t>
        </is>
      </c>
      <c r="D108" s="36" t="inlineStr">
        <is>
          <t>Rust</t>
        </is>
      </c>
      <c r="E108" s="19" t="inlineStr">
        <is>
          <t>Eigenes Portal</t>
        </is>
      </c>
      <c r="F108" s="19" t="inlineStr">
        <is>
          <t>https://jobs.europapark.de/</t>
        </is>
      </c>
    </row>
    <row r="109" ht="14.25" customHeight="1" s="20">
      <c r="A109" s="36" t="inlineStr">
        <is>
          <t>Exyte AG</t>
        </is>
      </c>
      <c r="B109" s="36" t="n">
        <v>9700</v>
      </c>
      <c r="C109" s="36" t="inlineStr">
        <is>
          <t>Anlagenbau</t>
        </is>
      </c>
      <c r="D109" s="36" t="inlineStr">
        <is>
          <t>Stuttgart</t>
        </is>
      </c>
      <c r="E109" s="19" t="inlineStr">
        <is>
          <t>Eigenes Portal</t>
        </is>
      </c>
      <c r="F109" s="19" t="inlineStr">
        <is>
          <t>https://careers.exyte.net/global/de/home</t>
        </is>
      </c>
    </row>
    <row r="110" ht="14.25" customHeight="1" s="20">
      <c r="A110" s="36" t="inlineStr">
        <is>
          <t>EY GmbH &amp; Co. KG</t>
        </is>
      </c>
      <c r="B110" s="36" t="n">
        <v>10600</v>
      </c>
      <c r="C110" s="36" t="inlineStr">
        <is>
          <t>Steuerberater, Wirtschaftsprüfer</t>
        </is>
      </c>
      <c r="D110" s="36" t="inlineStr">
        <is>
          <t>Stuttgart</t>
        </is>
      </c>
      <c r="E110" s="19" t="inlineStr">
        <is>
          <t>Eigenes Portal</t>
        </is>
      </c>
      <c r="F110" s="19" t="inlineStr">
        <is>
          <t>https://jobsgermany.ey.com/</t>
        </is>
      </c>
    </row>
    <row r="111" ht="14.25" customHeight="1" s="20">
      <c r="A111" s="36" t="inlineStr">
        <is>
          <t>Faulhaber Gruppe</t>
        </is>
      </c>
      <c r="B111" s="36" t="n">
        <v>2300</v>
      </c>
      <c r="C111" s="36" t="inlineStr">
        <is>
          <t>Antriebs-/Mikrosystemtechnik</t>
        </is>
      </c>
      <c r="D111" s="36" t="inlineStr">
        <is>
          <t>Schönaich</t>
        </is>
      </c>
    </row>
    <row r="112" ht="14.25" customHeight="1" s="20">
      <c r="A112" s="36" t="inlineStr">
        <is>
          <t>FESTO SE &amp; Co. KG</t>
        </is>
      </c>
      <c r="B112" s="36" t="n">
        <v>20200</v>
      </c>
      <c r="C112" s="36" t="inlineStr">
        <is>
          <t>Automatisierungstechnik</t>
        </is>
      </c>
      <c r="D112" s="36" t="inlineStr">
        <is>
          <t>Esslingen am Neckar</t>
        </is>
      </c>
      <c r="E112" s="19" t="inlineStr">
        <is>
          <t>Eigenes Portal</t>
        </is>
      </c>
      <c r="F112" s="19" t="inlineStr">
        <is>
          <t>https://jobs.festo.com/</t>
        </is>
      </c>
    </row>
    <row r="113" ht="14.25" customHeight="1" s="20">
      <c r="A113" s="36" t="inlineStr">
        <is>
          <t>FICHTNER-Gruppe</t>
        </is>
      </c>
      <c r="B113" s="36" t="n">
        <v>2235</v>
      </c>
      <c r="C113" s="36" t="inlineStr">
        <is>
          <t>Ingenieur- und Beratungsdienstleistungen</t>
        </is>
      </c>
      <c r="D113" s="36" t="inlineStr">
        <is>
          <t>Stuttgart</t>
        </is>
      </c>
    </row>
    <row r="114" ht="14.25" customHeight="1" s="20">
      <c r="A114" s="36" t="inlineStr">
        <is>
          <t>Firmengruppe Liebherr</t>
        </is>
      </c>
      <c r="B114" s="36" t="n">
        <v>50000</v>
      </c>
      <c r="C114" s="36" t="inlineStr">
        <is>
          <t>Maschinenbau, Elektrotechnik</t>
        </is>
      </c>
      <c r="D114" s="36" t="inlineStr">
        <is>
          <t>Bulle (CH)</t>
        </is>
      </c>
      <c r="E114" s="19" t="inlineStr">
        <is>
          <t>Eigenes Portal (YourLiebherrCareer)</t>
        </is>
      </c>
      <c r="F114" s="19" t="inlineStr">
        <is>
          <t>https://careers.liebherr.com/</t>
        </is>
      </c>
    </row>
    <row r="115" ht="14.25" customHeight="1" s="20">
      <c r="A115" s="36" t="inlineStr">
        <is>
          <t>Flughafen Stuttgart GmbH</t>
        </is>
      </c>
      <c r="B115" s="36" t="n">
        <v>2404</v>
      </c>
      <c r="C115" s="36" t="inlineStr">
        <is>
          <t>Verkehrswirtschaft</t>
        </is>
      </c>
      <c r="D115" s="36" t="inlineStr">
        <is>
          <t>Leinfelden-Echterdingen</t>
        </is>
      </c>
    </row>
    <row r="116" ht="14.25" customHeight="1" s="20">
      <c r="A116" s="36" t="inlineStr">
        <is>
          <t>FONDIUM Singen GmbH</t>
        </is>
      </c>
      <c r="B116" s="36" t="n">
        <v>1800</v>
      </c>
      <c r="C116" s="36" t="inlineStr">
        <is>
          <t>Automobilzulieferer</t>
        </is>
      </c>
      <c r="D116" s="36" t="inlineStr">
        <is>
          <t>Singen</t>
        </is>
      </c>
    </row>
    <row r="117" ht="14.25" customHeight="1" s="20">
      <c r="A117" s="36" t="inlineStr">
        <is>
          <t>Franz &amp; Wach Personalservice GmbH</t>
        </is>
      </c>
      <c r="B117" s="36" t="n">
        <v>1600</v>
      </c>
      <c r="C117" s="36" t="inlineStr">
        <is>
          <t>Personaldienstleister</t>
        </is>
      </c>
      <c r="D117" s="36" t="inlineStr">
        <is>
          <t>Crailsheim</t>
        </is>
      </c>
    </row>
    <row r="118" ht="14.25" customHeight="1" s="20">
      <c r="A118" s="36" t="inlineStr">
        <is>
          <t>Franz Binder GmbH &amp; Co. KG</t>
        </is>
      </c>
      <c r="B118" s="36" t="n">
        <v>1800</v>
      </c>
      <c r="C118" s="36" t="inlineStr">
        <is>
          <t>Rundsteckverbinder</t>
        </is>
      </c>
      <c r="D118" s="36" t="inlineStr">
        <is>
          <t>Neckarsulm</t>
        </is>
      </c>
    </row>
    <row r="119" ht="14.25" customHeight="1" s="20">
      <c r="A119" s="36" t="inlineStr">
        <is>
          <t>Freudenberg Gruppe</t>
        </is>
      </c>
      <c r="B119" s="36" t="n">
        <v>52000</v>
      </c>
      <c r="C119" s="36" t="inlineStr">
        <is>
          <t>Technologiekonzern</t>
        </is>
      </c>
      <c r="D119" s="36" t="inlineStr">
        <is>
          <t>Weinheim</t>
        </is>
      </c>
      <c r="E119" s="19" t="inlineStr">
        <is>
          <t>Workday</t>
        </is>
      </c>
      <c r="F119" s="19" t="inlineStr">
        <is>
          <t>https://jobs.freudenberg.com/</t>
        </is>
      </c>
    </row>
    <row r="120" ht="14.25" customHeight="1" s="20">
      <c r="A120" s="36" t="inlineStr">
        <is>
          <t>Friedrich Scharr KG</t>
        </is>
      </c>
      <c r="B120" s="36" t="n">
        <v>1000</v>
      </c>
      <c r="C120" s="36" t="inlineStr">
        <is>
          <t>Großhandel</t>
        </is>
      </c>
      <c r="D120" s="36" t="inlineStr">
        <is>
          <t>Stuttgart</t>
        </is>
      </c>
    </row>
    <row r="121" ht="14.25" customHeight="1" s="20">
      <c r="A121" s="36" t="inlineStr">
        <is>
          <t>FUCHS SE</t>
        </is>
      </c>
      <c r="B121" s="36" t="n">
        <v>6272</v>
      </c>
      <c r="C121" s="36" t="inlineStr">
        <is>
          <t>Schmierstoffe</t>
        </is>
      </c>
      <c r="D121" s="36" t="inlineStr">
        <is>
          <t>Mannheim</t>
        </is>
      </c>
      <c r="E121" s="19" t="inlineStr">
        <is>
          <t>Eigenes Portal</t>
        </is>
      </c>
      <c r="F121" s="19" t="inlineStr">
        <is>
          <t>https://www.fuchs.com/de/de/karriere/</t>
        </is>
      </c>
    </row>
    <row r="122" ht="14.25" customHeight="1" s="20">
      <c r="A122" s="36" t="inlineStr">
        <is>
          <t>G.RAU Group</t>
        </is>
      </c>
      <c r="B122" s="36" t="n">
        <v>1991</v>
      </c>
      <c r="C122" s="36" t="inlineStr">
        <is>
          <t>Metallverarbeitung</t>
        </is>
      </c>
      <c r="D122" s="36" t="inlineStr">
        <is>
          <t>Pforzheim</t>
        </is>
      </c>
    </row>
    <row r="123" ht="14.25" customHeight="1" s="20">
      <c r="A123" s="36" t="inlineStr">
        <is>
          <t>GARDENA GmbH (Husqvarna Group)</t>
        </is>
      </c>
      <c r="B123" s="36" t="n">
        <v>13800</v>
      </c>
      <c r="C123" s="36" t="inlineStr">
        <is>
          <t>Gartengeräte</t>
        </is>
      </c>
      <c r="D123" s="36" t="inlineStr">
        <is>
          <t>Ulm</t>
        </is>
      </c>
      <c r="E123" s="19" t="inlineStr">
        <is>
          <t>Eigenes Portal</t>
        </is>
      </c>
      <c r="F123" s="19" t="inlineStr">
        <is>
          <t>https://karriere.husqvarnagroup.de/</t>
        </is>
      </c>
    </row>
    <row r="124" ht="14.25" customHeight="1" s="20">
      <c r="A124" s="36" t="inlineStr">
        <is>
          <t>Geberit</t>
        </is>
      </c>
      <c r="B124" s="36" t="n">
        <v>12000</v>
      </c>
      <c r="C124" s="36" t="inlineStr">
        <is>
          <t>Sanitärprodukte</t>
        </is>
      </c>
      <c r="D124" s="36" t="inlineStr">
        <is>
          <t>Jona (CH) / Pfullendorf</t>
        </is>
      </c>
      <c r="E124" s="19" t="inlineStr">
        <is>
          <t>Eigenes Portal</t>
        </is>
      </c>
      <c r="F124" s="19" t="inlineStr">
        <is>
          <t>https://jobs.geberit.com/</t>
        </is>
      </c>
    </row>
    <row r="125" ht="14.25" customHeight="1" s="20">
      <c r="A125" s="36" t="inlineStr">
        <is>
          <t>Gebr. Heller Maschinenfabrik GmbH</t>
        </is>
      </c>
      <c r="B125" s="36" t="n">
        <v>2600</v>
      </c>
      <c r="C125" s="36" t="inlineStr">
        <is>
          <t>Maschinenbau</t>
        </is>
      </c>
      <c r="D125" s="36" t="inlineStr">
        <is>
          <t>Nürtingen</t>
        </is>
      </c>
    </row>
    <row r="126" ht="14.25" customHeight="1" s="20">
      <c r="A126" s="36" t="inlineStr">
        <is>
          <t>Gebr. Lotter KG</t>
        </is>
      </c>
      <c r="B126" s="36" t="n">
        <v>1900</v>
      </c>
      <c r="C126" s="36" t="inlineStr">
        <is>
          <t>Großhandel</t>
        </is>
      </c>
      <c r="D126" s="36" t="inlineStr">
        <is>
          <t>Ludwigsburg</t>
        </is>
      </c>
    </row>
    <row r="127" ht="14.25" customHeight="1" s="20">
      <c r="A127" s="36" t="inlineStr">
        <is>
          <t>GELITA AG</t>
        </is>
      </c>
      <c r="B127" s="36" t="n">
        <v>2800</v>
      </c>
      <c r="C127" s="36" t="inlineStr">
        <is>
          <t>Nahrungsmittelherstellung</t>
        </is>
      </c>
      <c r="D127" s="36" t="inlineStr">
        <is>
          <t>Eberbach</t>
        </is>
      </c>
    </row>
    <row r="128" ht="14.25" customHeight="1" s="20">
      <c r="A128" s="36" t="inlineStr">
        <is>
          <t>GEMÜ Gebr. Müller Apparatebau GmbH &amp; Co. KG</t>
        </is>
      </c>
      <c r="B128" s="36" t="n">
        <v>2500</v>
      </c>
      <c r="C128" s="36" t="inlineStr">
        <is>
          <t>Ventil-/Mess-/Regelsysteme</t>
        </is>
      </c>
      <c r="D128" s="36" t="inlineStr">
        <is>
          <t>Ingelfingen-Criesbach</t>
        </is>
      </c>
    </row>
    <row r="129" ht="14.25" customHeight="1" s="20">
      <c r="A129" s="36" t="inlineStr">
        <is>
          <t>Gerhard Schubert GmbH</t>
        </is>
      </c>
      <c r="B129" s="36" t="n">
        <v>1716</v>
      </c>
      <c r="C129" s="36" t="inlineStr">
        <is>
          <t>Verpackungsmaschinen</t>
        </is>
      </c>
      <c r="D129" s="36" t="inlineStr">
        <is>
          <t>Crailsheim</t>
        </is>
      </c>
    </row>
    <row r="130" ht="14.25" customHeight="1" s="20">
      <c r="A130" s="36" t="inlineStr">
        <is>
          <t>Gesundheitsholding Tauberfranken GmbH</t>
        </is>
      </c>
      <c r="B130" s="36" t="n">
        <v>2150</v>
      </c>
      <c r="C130" s="36" t="inlineStr">
        <is>
          <t>Gesundheitswesen</t>
        </is>
      </c>
      <c r="D130" s="36" t="inlineStr">
        <is>
          <t>Bad Mergentheim</t>
        </is>
      </c>
    </row>
    <row r="131" ht="14.25" customHeight="1" s="20">
      <c r="A131" s="36" t="inlineStr">
        <is>
          <t>Getinge</t>
        </is>
      </c>
      <c r="B131" s="36" t="n">
        <v>12000</v>
      </c>
      <c r="C131" s="36" t="inlineStr">
        <is>
          <t>Medizintechnik</t>
        </is>
      </c>
      <c r="D131" s="36" t="inlineStr">
        <is>
          <t>Rastatt</t>
        </is>
      </c>
    </row>
    <row r="132" ht="14.25" customHeight="1" s="20">
      <c r="A132" s="36" t="inlineStr">
        <is>
          <t>GEZE GmbH</t>
        </is>
      </c>
      <c r="B132" s="36" t="n">
        <v>3500</v>
      </c>
      <c r="C132" s="36" t="inlineStr">
        <is>
          <t>Bauelementebranche</t>
        </is>
      </c>
      <c r="D132" s="36" t="inlineStr">
        <is>
          <t>Leonberg</t>
        </is>
      </c>
    </row>
    <row r="133" ht="14.25" customHeight="1" s="20">
      <c r="A133" s="36" t="inlineStr">
        <is>
          <t>GFT Technologies SE</t>
        </is>
      </c>
      <c r="B133" s="36" t="n">
        <v>7700</v>
      </c>
      <c r="C133" s="36" t="inlineStr">
        <is>
          <t>IT-Dienstleistungen</t>
        </is>
      </c>
      <c r="D133" s="36" t="inlineStr">
        <is>
          <t>Stuttgart</t>
        </is>
      </c>
      <c r="E133" s="19" t="inlineStr">
        <is>
          <t>Eigenes Portal</t>
        </is>
      </c>
      <c r="F133" s="19" t="inlineStr">
        <is>
          <t>https://www.gft.com/de/de/about-us/career/</t>
        </is>
      </c>
    </row>
    <row r="134" ht="14.25" customHeight="1" s="20">
      <c r="A134" s="36" t="inlineStr">
        <is>
          <t>grenke AG</t>
        </is>
      </c>
      <c r="B134" s="36" t="n">
        <v>2347</v>
      </c>
      <c r="C134" s="36" t="inlineStr">
        <is>
          <t>Finanzdienstleistungen</t>
        </is>
      </c>
      <c r="D134" s="36" t="inlineStr">
        <is>
          <t>Baden-Baden</t>
        </is>
      </c>
    </row>
    <row r="135" ht="14.25" customHeight="1" s="20">
      <c r="A135" s="36" t="inlineStr">
        <is>
          <t>Gretsch-Unitas GmbH</t>
        </is>
      </c>
      <c r="B135" s="36" t="n">
        <v>4290</v>
      </c>
      <c r="C135" s="36" t="inlineStr">
        <is>
          <t>Metallverarbeitende Industrie</t>
        </is>
      </c>
      <c r="D135" s="36" t="inlineStr">
        <is>
          <t>Ditzingen</t>
        </is>
      </c>
      <c r="E135" s="19" t="inlineStr">
        <is>
          <t>Eigenes Portal</t>
        </is>
      </c>
      <c r="F135" s="19" t="inlineStr">
        <is>
          <t>https://karriere.gu-gruppe.de/</t>
        </is>
      </c>
    </row>
    <row r="136" ht="14.25" customHeight="1" s="20">
      <c r="A136" s="36" t="inlineStr">
        <is>
          <t>groninger &amp; co gmbh</t>
        </is>
      </c>
      <c r="B136" s="36" t="n">
        <v>1600</v>
      </c>
      <c r="C136" s="36" t="inlineStr">
        <is>
          <t>Sondermaschinenbau</t>
        </is>
      </c>
      <c r="D136" s="36" t="inlineStr">
        <is>
          <t>Crailsheim</t>
        </is>
      </c>
    </row>
    <row r="137" ht="14.25" customHeight="1" s="20">
      <c r="A137" s="36" t="inlineStr">
        <is>
          <t>Groupe SEB WMF Shared Services GmbH</t>
        </is>
      </c>
      <c r="B137" s="36" t="n">
        <v>1500</v>
      </c>
      <c r="C137" s="36" t="inlineStr">
        <is>
          <t>Metallwarenindustrie</t>
        </is>
      </c>
      <c r="D137" s="36" t="inlineStr">
        <is>
          <t>Geislingen an der Steige</t>
        </is>
      </c>
    </row>
    <row r="138" ht="14.25" customHeight="1" s="20">
      <c r="A138" s="36" t="inlineStr">
        <is>
          <t>Groz-Beckert</t>
        </is>
      </c>
      <c r="B138" s="36" t="n">
        <v>9595</v>
      </c>
      <c r="C138" s="36" t="inlineStr">
        <is>
          <t>Textilwerkzeuge</t>
        </is>
      </c>
      <c r="D138" s="36" t="inlineStr">
        <is>
          <t>Albstadt Ebingen</t>
        </is>
      </c>
      <c r="E138" s="19" t="inlineStr">
        <is>
          <t>Eigenes Portal</t>
        </is>
      </c>
      <c r="F138" s="19" t="inlineStr">
        <is>
          <t>https://www.groz-beckert.com/de/karriere/</t>
        </is>
      </c>
    </row>
    <row r="139" ht="14.25" customHeight="1" s="20">
      <c r="A139" s="36" t="inlineStr">
        <is>
          <t>Gühring KG</t>
        </is>
      </c>
      <c r="B139" s="36" t="n">
        <v>8000</v>
      </c>
      <c r="C139" s="36" t="inlineStr">
        <is>
          <t>Metallzerspanung</t>
        </is>
      </c>
      <c r="D139" s="36" t="inlineStr">
        <is>
          <t>Albstadt</t>
        </is>
      </c>
      <c r="E139" s="19" t="inlineStr">
        <is>
          <t>Eigenes Portal</t>
        </is>
      </c>
      <c r="F139" s="19" t="inlineStr">
        <is>
          <t>https://guehring.com/ueber-uns/karriere/</t>
        </is>
      </c>
    </row>
    <row r="140" ht="14.25" customHeight="1" s="20">
      <c r="A140" s="36" t="inlineStr">
        <is>
          <t>Häfele SE</t>
        </is>
      </c>
      <c r="B140" s="36" t="n">
        <v>8000</v>
      </c>
      <c r="C140" s="36" t="inlineStr">
        <is>
          <t>Beschlagtechnik</t>
        </is>
      </c>
      <c r="D140" s="36" t="inlineStr">
        <is>
          <t>Nagold</t>
        </is>
      </c>
      <c r="E140" s="19" t="inlineStr">
        <is>
          <t>Eigenes Portal</t>
        </is>
      </c>
      <c r="F140" s="19" t="inlineStr">
        <is>
          <t>https://www.hafele.com.de/de/info/ueber-haefele/karriere/385/</t>
        </is>
      </c>
    </row>
    <row r="141" ht="14.25" customHeight="1" s="20">
      <c r="A141" s="36" t="inlineStr">
        <is>
          <t>HALLESCHE Krankenversicherung a.G.</t>
        </is>
      </c>
      <c r="B141" s="36" t="n">
        <v>1100</v>
      </c>
      <c r="C141" s="36" t="inlineStr">
        <is>
          <t>Versicherung</t>
        </is>
      </c>
      <c r="D141" s="36" t="inlineStr">
        <is>
          <t>Stuttgart</t>
        </is>
      </c>
    </row>
    <row r="142" ht="14.25" customHeight="1" s="20">
      <c r="A142" s="36" t="inlineStr">
        <is>
          <t>Handtmann Unternehmensgruppe</t>
        </is>
      </c>
      <c r="B142" s="36" t="n">
        <v>4300</v>
      </c>
      <c r="C142" s="36" t="inlineStr">
        <is>
          <t>Gießereien, Automobilzulieferer</t>
        </is>
      </c>
      <c r="D142" s="36" t="inlineStr">
        <is>
          <t>Biberach</t>
        </is>
      </c>
      <c r="E142" s="19" t="inlineStr">
        <is>
          <t>Eigenes Portal</t>
        </is>
      </c>
      <c r="F142" s="19" t="inlineStr">
        <is>
          <t>https://www.handtmann.de/karriere/</t>
        </is>
      </c>
    </row>
    <row r="143" ht="14.25" customHeight="1" s="20">
      <c r="A143" s="36" t="inlineStr">
        <is>
          <t>Hansgrohe SE</t>
        </is>
      </c>
      <c r="B143" s="36" t="n">
        <v>5448</v>
      </c>
      <c r="C143" s="36" t="inlineStr">
        <is>
          <t>Sanitärprodukte</t>
        </is>
      </c>
      <c r="D143" s="36" t="inlineStr">
        <is>
          <t>Schiltach</t>
        </is>
      </c>
      <c r="E143" s="19" t="inlineStr">
        <is>
          <t>Eigenes Portal</t>
        </is>
      </c>
      <c r="F143" s="19" t="inlineStr">
        <is>
          <t>https://www.hansgrohe-group.com/de/karriere</t>
        </is>
      </c>
    </row>
    <row r="144" ht="14.25" customHeight="1" s="20">
      <c r="A144" s="36" t="inlineStr">
        <is>
          <t>Harro Höfliger Verpackungsmaschinen GmbH</t>
        </is>
      </c>
      <c r="B144" s="36" t="n">
        <v>2100</v>
      </c>
      <c r="C144" s="36" t="inlineStr">
        <is>
          <t>Maschinenbau</t>
        </is>
      </c>
      <c r="D144" s="36" t="inlineStr">
        <is>
          <t>Allmersbach im Tal</t>
        </is>
      </c>
    </row>
    <row r="145" ht="14.25" customHeight="1" s="20">
      <c r="A145" s="36" t="inlineStr">
        <is>
          <t>Hartmetall-Werkzeugfabrik Paul Horn GmbH</t>
        </is>
      </c>
      <c r="B145" s="36" t="n">
        <v>950</v>
      </c>
      <c r="C145" s="36" t="inlineStr">
        <is>
          <t>Präzisionswerkzeuge</t>
        </is>
      </c>
      <c r="D145" s="36" t="inlineStr">
        <is>
          <t>Tübingen</t>
        </is>
      </c>
    </row>
    <row r="146" ht="14.25" customHeight="1" s="20">
      <c r="A146" s="36" t="inlineStr">
        <is>
          <t>Haufe Group SE</t>
        </is>
      </c>
      <c r="B146" s="36" t="n">
        <v>2500</v>
      </c>
      <c r="C146" s="36" t="inlineStr">
        <is>
          <t>Software, Medien</t>
        </is>
      </c>
      <c r="D146" s="36" t="inlineStr">
        <is>
          <t>Freiburg im Breisgau</t>
        </is>
      </c>
    </row>
    <row r="147" ht="14.25" customHeight="1" s="20">
      <c r="A147" s="36" t="inlineStr">
        <is>
          <t>Heidelberg Materials AG</t>
        </is>
      </c>
      <c r="B147" s="36" t="n">
        <v>51000</v>
      </c>
      <c r="C147" s="36" t="inlineStr">
        <is>
          <t>Baustoffindustrie</t>
        </is>
      </c>
      <c r="D147" s="36" t="inlineStr">
        <is>
          <t>Heidelberg</t>
        </is>
      </c>
      <c r="E147" s="19" t="inlineStr">
        <is>
          <t>Workday</t>
        </is>
      </c>
      <c r="F147" s="19" t="inlineStr">
        <is>
          <t>https://karriere.heidelbergmaterials.com/</t>
        </is>
      </c>
      <c r="G147" s="19" t="inlineStr">
        <is>
          <t>https://heidelbergmaterials.wd3.myworkdayjobs.com/wday/cxs/heidelbergmaterials/de-DE/Global_HM_Career_Site/jobs</t>
        </is>
      </c>
    </row>
    <row r="148" ht="14.25" customHeight="1" s="20">
      <c r="A148" s="36" t="inlineStr">
        <is>
          <t>HELIOS Klinikum Pforzheim</t>
        </is>
      </c>
      <c r="B148" s="36" t="n">
        <v>1300</v>
      </c>
      <c r="C148" s="36" t="inlineStr">
        <is>
          <t>Gesundheitswesen</t>
        </is>
      </c>
      <c r="D148" s="36" t="inlineStr">
        <is>
          <t>Pforzheim</t>
        </is>
      </c>
    </row>
    <row r="149" ht="14.25" customHeight="1" s="20">
      <c r="A149" s="36" t="inlineStr">
        <is>
          <t>HELUKABEL GmbH</t>
        </is>
      </c>
      <c r="B149" s="36" t="n">
        <v>2500</v>
      </c>
      <c r="C149" s="36" t="inlineStr">
        <is>
          <t>Elektrische Verbindungstechnik</t>
        </is>
      </c>
      <c r="D149" s="36" t="inlineStr">
        <is>
          <t>Hemmingen</t>
        </is>
      </c>
    </row>
    <row r="150" ht="14.25" customHeight="1" s="20">
      <c r="A150" s="36" t="inlineStr">
        <is>
          <t>HERMA GmbH</t>
        </is>
      </c>
      <c r="B150" s="36" t="n">
        <v>1100</v>
      </c>
      <c r="C150" s="36" t="inlineStr">
        <is>
          <t>Etiketten und Etikettiermaschinen</t>
        </is>
      </c>
      <c r="D150" s="36" t="inlineStr">
        <is>
          <t>Filderstadt</t>
        </is>
      </c>
    </row>
    <row r="151" ht="14.25" customHeight="1" s="20">
      <c r="A151" s="36" t="inlineStr">
        <is>
          <t>Herrenknecht AG</t>
        </is>
      </c>
      <c r="B151" s="36" t="n">
        <v>5328</v>
      </c>
      <c r="C151" s="36" t="inlineStr">
        <is>
          <t>Tunnelbohrmaschinen</t>
        </is>
      </c>
      <c r="D151" s="36" t="inlineStr">
        <is>
          <t>Schwanau</t>
        </is>
      </c>
      <c r="E151" s="19" t="inlineStr">
        <is>
          <t>Eigenes Portal</t>
        </is>
      </c>
      <c r="F151" s="19" t="inlineStr">
        <is>
          <t>https://jobs.herrenknecht.com/</t>
        </is>
      </c>
    </row>
    <row r="152" ht="14.25" customHeight="1" s="20">
      <c r="A152" s="36" t="inlineStr">
        <is>
          <t>HES Präzisionsteile Hermann Erkert GmbH</t>
        </is>
      </c>
      <c r="B152" s="36" t="n">
        <v>1055</v>
      </c>
      <c r="C152" s="36" t="inlineStr">
        <is>
          <t>Automobilzulieferer</t>
        </is>
      </c>
      <c r="D152" s="36" t="inlineStr">
        <is>
          <t>Sulzbach/Murr</t>
        </is>
      </c>
    </row>
    <row r="153" ht="14.25" customHeight="1" s="20">
      <c r="A153" s="36" t="inlineStr">
        <is>
          <t>Hofmann Menü-Manufaktur GmbH</t>
        </is>
      </c>
      <c r="B153" s="36" t="n">
        <v>1200</v>
      </c>
      <c r="C153" s="36" t="inlineStr">
        <is>
          <t>Tiefkühlmenüs</t>
        </is>
      </c>
      <c r="D153" s="36" t="inlineStr">
        <is>
          <t>Boxberg</t>
        </is>
      </c>
    </row>
    <row r="154" ht="14.25" customHeight="1" s="20">
      <c r="A154" s="36" t="inlineStr">
        <is>
          <t>Hofmeister Wohnzentren</t>
        </is>
      </c>
      <c r="B154" s="36" t="n">
        <v>1000</v>
      </c>
      <c r="C154" s="36" t="inlineStr">
        <is>
          <t>Möbeleinzelhandel</t>
        </is>
      </c>
      <c r="D154" s="36" t="inlineStr">
        <is>
          <t>Bietigheim-Bissingen</t>
        </is>
      </c>
    </row>
    <row r="155" ht="14.25" customHeight="1" s="20">
      <c r="A155" s="36" t="inlineStr">
        <is>
          <t>Hohenstein Group</t>
        </is>
      </c>
      <c r="B155" s="36" t="n">
        <v>1250</v>
      </c>
      <c r="C155" s="36" t="inlineStr">
        <is>
          <t>Prüfdienstleistungen</t>
        </is>
      </c>
      <c r="D155" s="36" t="inlineStr">
        <is>
          <t>Bönnigheim</t>
        </is>
      </c>
    </row>
    <row r="156" ht="14.25" customHeight="1" s="20">
      <c r="A156" s="36" t="inlineStr">
        <is>
          <t>HOMAG Group AG</t>
        </is>
      </c>
      <c r="B156" s="36" t="n">
        <v>7348</v>
      </c>
      <c r="C156" s="36" t="inlineStr">
        <is>
          <t>Holzbearbeitungsmaschinenbau</t>
        </is>
      </c>
      <c r="D156" s="36" t="inlineStr">
        <is>
          <t>Schopfloch</t>
        </is>
      </c>
      <c r="E156" s="19" t="inlineStr">
        <is>
          <t>Eigenes Portal</t>
        </is>
      </c>
      <c r="F156" s="19" t="inlineStr">
        <is>
          <t>https://www.homag.com/karriere</t>
        </is>
      </c>
    </row>
    <row r="157" ht="14.25" customHeight="1" s="20">
      <c r="A157" s="36" t="inlineStr">
        <is>
          <t>HP Deutschland GmbH</t>
        </is>
      </c>
      <c r="B157" s="36" t="n"/>
      <c r="C157" s="36" t="inlineStr">
        <is>
          <t>Informationstechnologie</t>
        </is>
      </c>
      <c r="D157" s="36" t="inlineStr">
        <is>
          <t>Böblingen</t>
        </is>
      </c>
    </row>
    <row r="158" ht="14.25" customHeight="1" s="20">
      <c r="A158" s="36" t="inlineStr">
        <is>
          <t>Hubert Burda Media Holding KG</t>
        </is>
      </c>
      <c r="B158" s="36" t="n">
        <v>10000</v>
      </c>
      <c r="C158" s="36" t="inlineStr">
        <is>
          <t>Medien, Verlagswesen</t>
        </is>
      </c>
      <c r="D158" s="36" t="inlineStr">
        <is>
          <t>Offenburg</t>
        </is>
      </c>
      <c r="E158" s="19" t="inlineStr">
        <is>
          <t>Eigenes Portal</t>
        </is>
      </c>
      <c r="F158" s="19" t="inlineStr">
        <is>
          <t>https://www.burda.com/en/career</t>
        </is>
      </c>
    </row>
    <row r="159" ht="14.25" customHeight="1" s="20">
      <c r="A159" s="36" t="inlineStr">
        <is>
          <t>HUGO BOSS AG</t>
        </is>
      </c>
      <c r="B159" s="36" t="n">
        <v>19000</v>
      </c>
      <c r="C159" s="36" t="inlineStr">
        <is>
          <t>Bekleidung</t>
        </is>
      </c>
      <c r="D159" s="36" t="inlineStr">
        <is>
          <t>Metzingen</t>
        </is>
      </c>
      <c r="E159" s="19" t="inlineStr">
        <is>
          <t>Eigenes Portal (Phenom/careers.hugoboss.com)</t>
        </is>
      </c>
      <c r="F159" s="19" t="inlineStr">
        <is>
          <t>https://careers.hugoboss.com/de/de/home</t>
        </is>
      </c>
    </row>
    <row r="160" ht="14.25" customHeight="1" s="20">
      <c r="A160" s="36" t="inlineStr">
        <is>
          <t>Hugo Kern und Liebers GmbH &amp; Co. KG</t>
        </is>
      </c>
      <c r="B160" s="36" t="n">
        <v>7000</v>
      </c>
      <c r="C160" s="36" t="inlineStr">
        <is>
          <t>Metallverarbeitung</t>
        </is>
      </c>
      <c r="D160" s="36" t="inlineStr">
        <is>
          <t>Schramberg</t>
        </is>
      </c>
    </row>
    <row r="161" ht="14.25" customHeight="1" s="20">
      <c r="A161" s="36" t="inlineStr">
        <is>
          <t>IBM Corporation</t>
        </is>
      </c>
      <c r="B161" s="36" t="n">
        <v>282000</v>
      </c>
      <c r="C161" s="36" t="inlineStr">
        <is>
          <t>Informationstechnologie</t>
        </is>
      </c>
      <c r="D161" s="36" t="inlineStr">
        <is>
          <t>Armonk (USA) / Ehningen</t>
        </is>
      </c>
      <c r="E161" s="19" t="inlineStr">
        <is>
          <t>Eigenes Portal</t>
        </is>
      </c>
      <c r="F161" s="19" t="inlineStr">
        <is>
          <t>https://www.ibm.com/de-de/careers</t>
        </is>
      </c>
    </row>
    <row r="162" ht="14.25" customHeight="1" s="20">
      <c r="A162" s="36" t="inlineStr">
        <is>
          <t>IMPACT GmbH</t>
        </is>
      </c>
      <c r="B162" s="36" t="n">
        <v>2100</v>
      </c>
      <c r="C162" s="36" t="inlineStr">
        <is>
          <t>Arbeitnehmerüberlassung</t>
        </is>
      </c>
      <c r="D162" s="36" t="inlineStr">
        <is>
          <t>Mannheim</t>
        </is>
      </c>
    </row>
    <row r="163" ht="14.25" customHeight="1" s="20">
      <c r="A163" s="36" t="inlineStr">
        <is>
          <t>IMS Gear SE &amp; Co. KGaA</t>
        </is>
      </c>
      <c r="B163" s="36" t="n">
        <v>3200</v>
      </c>
      <c r="C163" s="36" t="inlineStr">
        <is>
          <t>Automobilzulieferer</t>
        </is>
      </c>
      <c r="D163" s="36" t="inlineStr">
        <is>
          <t>Donaueschingen</t>
        </is>
      </c>
    </row>
    <row r="164" ht="14.25" customHeight="1" s="20">
      <c r="A164" s="36" t="inlineStr">
        <is>
          <t>Index-Werke GmbH &amp; Co. KG</t>
        </is>
      </c>
      <c r="B164" s="36" t="n">
        <v>2100</v>
      </c>
      <c r="C164" s="36" t="inlineStr">
        <is>
          <t>Maschinenbau</t>
        </is>
      </c>
      <c r="D164" s="36" t="inlineStr">
        <is>
          <t>Esslingen am Neckar</t>
        </is>
      </c>
    </row>
    <row r="165" ht="14.25" customHeight="1" s="20">
      <c r="A165" s="36" t="inlineStr">
        <is>
          <t>INTER Krankenversicherung AG</t>
        </is>
      </c>
      <c r="B165" s="36" t="n">
        <v>1699</v>
      </c>
      <c r="C165" s="36" t="inlineStr">
        <is>
          <t>Versicherungen</t>
        </is>
      </c>
      <c r="D165" s="36" t="inlineStr">
        <is>
          <t>Mannheim</t>
        </is>
      </c>
    </row>
    <row r="166" ht="14.25" customHeight="1" s="20">
      <c r="A166" s="36" t="inlineStr">
        <is>
          <t>INTERSPORT Deutschland eG</t>
        </is>
      </c>
      <c r="B166" s="36" t="n">
        <v>400</v>
      </c>
      <c r="C166" s="36" t="inlineStr">
        <is>
          <t>Sportfachhandel</t>
        </is>
      </c>
      <c r="D166" s="36" t="inlineStr">
        <is>
          <t>Heilbronn</t>
        </is>
      </c>
    </row>
    <row r="167" ht="14.25" customHeight="1" s="20">
      <c r="A167" s="36" t="inlineStr">
        <is>
          <t>John Deere GmbH &amp; Co. KG</t>
        </is>
      </c>
      <c r="B167" s="36" t="n">
        <v>7770</v>
      </c>
      <c r="C167" s="36" t="inlineStr">
        <is>
          <t>Landmaschinenbau</t>
        </is>
      </c>
      <c r="D167" s="36" t="inlineStr">
        <is>
          <t>Mannheim</t>
        </is>
      </c>
      <c r="E167" s="19" t="inlineStr">
        <is>
          <t>Eigenes Portal</t>
        </is>
      </c>
      <c r="F167" s="19" t="inlineStr">
        <is>
          <t>https://www.deere.de/de-de/unser-unternehmen/karriere</t>
        </is>
      </c>
    </row>
    <row r="168" ht="14.25" customHeight="1" s="20">
      <c r="A168" s="36" t="inlineStr">
        <is>
          <t>KACO GmbH+Co.KG</t>
        </is>
      </c>
      <c r="B168" s="36" t="n">
        <v>2000</v>
      </c>
      <c r="C168" s="36" t="inlineStr">
        <is>
          <t>Automobilzulieferer</t>
        </is>
      </c>
      <c r="D168" s="36" t="inlineStr">
        <is>
          <t>Kirchardt</t>
        </is>
      </c>
    </row>
    <row r="169" ht="14.25" customHeight="1" s="20">
      <c r="A169" s="36" t="inlineStr">
        <is>
          <t>Karl Marbach GmbH &amp; Co. KG</t>
        </is>
      </c>
      <c r="B169" s="36" t="n">
        <v>1600</v>
      </c>
      <c r="C169" s="36" t="inlineStr">
        <is>
          <t>Verpackungstechnik</t>
        </is>
      </c>
      <c r="D169" s="36" t="inlineStr">
        <is>
          <t>Heilbronn</t>
        </is>
      </c>
    </row>
    <row r="170" ht="14.25" customHeight="1" s="20">
      <c r="A170" s="36" t="inlineStr">
        <is>
          <t>KARL STORZ SE &amp; Co. KG</t>
        </is>
      </c>
      <c r="B170" s="36" t="n">
        <v>9400</v>
      </c>
      <c r="C170" s="36" t="inlineStr">
        <is>
          <t>Medizintechnik</t>
        </is>
      </c>
      <c r="D170" s="36" t="inlineStr">
        <is>
          <t>Tuttlingen</t>
        </is>
      </c>
      <c r="E170" s="19" t="inlineStr">
        <is>
          <t>Eigenes Portal</t>
        </is>
      </c>
      <c r="F170" s="19" t="inlineStr">
        <is>
          <t>https://career.karlstorz.com/stellenangebote.html</t>
        </is>
      </c>
    </row>
    <row r="171" ht="14.25" customHeight="1" s="20">
      <c r="A171" s="36" t="inlineStr">
        <is>
          <t>KaVo Dental GmbH</t>
        </is>
      </c>
      <c r="B171" s="36" t="n">
        <v>1600</v>
      </c>
      <c r="C171" s="36" t="inlineStr">
        <is>
          <t>Medizintechnik</t>
        </is>
      </c>
      <c r="D171" s="36" t="inlineStr">
        <is>
          <t>Biberach</t>
        </is>
      </c>
    </row>
    <row r="172" ht="14.25" customHeight="1" s="20">
      <c r="A172" s="36" t="inlineStr">
        <is>
          <t>Kemmler Baustoffe GmbH</t>
        </is>
      </c>
      <c r="B172" s="36" t="n">
        <v>1200</v>
      </c>
      <c r="C172" s="36" t="inlineStr">
        <is>
          <t>Baugroßhandel</t>
        </is>
      </c>
      <c r="D172" s="36" t="inlineStr">
        <is>
          <t>Tübingen</t>
        </is>
      </c>
    </row>
    <row r="173" ht="14.25" customHeight="1" s="20">
      <c r="A173" s="36" t="inlineStr">
        <is>
          <t>KION Warehouse Systems GmbH</t>
        </is>
      </c>
      <c r="B173" s="36" t="n">
        <v>42000</v>
      </c>
      <c r="C173" s="36" t="inlineStr">
        <is>
          <t>Lagertechnik</t>
        </is>
      </c>
      <c r="D173" s="36" t="inlineStr">
        <is>
          <t>Reutlingen</t>
        </is>
      </c>
      <c r="E173" s="19" t="inlineStr">
        <is>
          <t>Workday</t>
        </is>
      </c>
      <c r="F173" s="19" t="inlineStr">
        <is>
          <t>https://www.kiongroup.com/de/Karriere/Arbeiten-bei-KION/</t>
        </is>
      </c>
      <c r="G173" s="19" t="inlineStr">
        <is>
          <t>https://kiongroup.wd3.myworkdayjobs.com/wday/cxs/kiongroup/KIONGroup/jobs</t>
        </is>
      </c>
    </row>
    <row r="174" ht="14.25" customHeight="1" s="20">
      <c r="A174" s="36" t="inlineStr">
        <is>
          <t>Kleeblatt Pflegeheime gGmbH</t>
        </is>
      </c>
      <c r="B174" s="36" t="n">
        <v>1100</v>
      </c>
      <c r="C174" s="36" t="inlineStr">
        <is>
          <t>Gesundheits- und Sozialwesen</t>
        </is>
      </c>
      <c r="D174" s="36" t="inlineStr">
        <is>
          <t>Ludwigsburg</t>
        </is>
      </c>
    </row>
    <row r="175" ht="14.25" customHeight="1" s="20">
      <c r="A175" s="36" t="inlineStr">
        <is>
          <t>Kliniken des Landkreises Lörrach GmbH</t>
        </is>
      </c>
      <c r="B175" s="36" t="n">
        <v>2199</v>
      </c>
      <c r="C175" s="36" t="inlineStr">
        <is>
          <t>Gesundheitswesen</t>
        </is>
      </c>
      <c r="D175" s="36" t="inlineStr">
        <is>
          <t>Lörrach</t>
        </is>
      </c>
    </row>
    <row r="176" ht="14.25" customHeight="1" s="20">
      <c r="A176" s="36" t="inlineStr">
        <is>
          <t>Klinikum am Weissenhof</t>
        </is>
      </c>
      <c r="B176" s="36" t="n">
        <v>1750</v>
      </c>
      <c r="C176" s="36" t="inlineStr">
        <is>
          <t>Gesundheitswesen</t>
        </is>
      </c>
      <c r="D176" s="36" t="inlineStr">
        <is>
          <t>Weinsberg</t>
        </is>
      </c>
    </row>
    <row r="177" ht="14.25" customHeight="1" s="20">
      <c r="A177" s="36" t="inlineStr">
        <is>
          <t>Klinikum Esslingen GmbH</t>
        </is>
      </c>
      <c r="B177" s="36" t="n">
        <v>1910</v>
      </c>
      <c r="C177" s="36" t="inlineStr">
        <is>
          <t>Gesundheitswesen</t>
        </is>
      </c>
      <c r="D177" s="36" t="inlineStr">
        <is>
          <t>Esslingen am Neckar</t>
        </is>
      </c>
    </row>
    <row r="178" ht="14.25" customHeight="1" s="20">
      <c r="A178" s="36" t="inlineStr">
        <is>
          <t>Klinikum Mittelbaden gGmbH</t>
        </is>
      </c>
      <c r="B178" s="36" t="n">
        <v>3500</v>
      </c>
      <c r="C178" s="36" t="inlineStr">
        <is>
          <t>Gesundheitswesen</t>
        </is>
      </c>
      <c r="D178" s="36" t="inlineStr">
        <is>
          <t>Baden-Baden</t>
        </is>
      </c>
    </row>
    <row r="179" ht="14.25" customHeight="1" s="20">
      <c r="A179" s="36" t="inlineStr">
        <is>
          <t>Klinikverbund Südwest GmbH</t>
        </is>
      </c>
      <c r="B179" s="36" t="n">
        <v>6000</v>
      </c>
      <c r="C179" s="36" t="inlineStr">
        <is>
          <t>Gesundheitswesen</t>
        </is>
      </c>
      <c r="D179" s="36" t="inlineStr">
        <is>
          <t>Sindelfingen</t>
        </is>
      </c>
      <c r="E179" s="19" t="inlineStr">
        <is>
          <t>Eigenes Portal</t>
        </is>
      </c>
      <c r="F179" s="19" t="inlineStr">
        <is>
          <t>https://www.klinikverbund-suedwest.de/jobs-karriere/</t>
        </is>
      </c>
    </row>
    <row r="180" ht="14.25" customHeight="1" s="20">
      <c r="A180" s="36" t="inlineStr">
        <is>
          <t>Koehler Paper SE</t>
        </is>
      </c>
      <c r="B180" s="36" t="n">
        <v>2500</v>
      </c>
      <c r="C180" s="36" t="inlineStr">
        <is>
          <t>Papierherstellung</t>
        </is>
      </c>
      <c r="D180" s="36" t="inlineStr">
        <is>
          <t>Oberkirch</t>
        </is>
      </c>
    </row>
    <row r="181" ht="14.25" customHeight="1" s="20">
      <c r="A181" s="36" t="inlineStr">
        <is>
          <t>Kreiskliniken Reutlingen gGmbH</t>
        </is>
      </c>
      <c r="B181" s="36" t="n">
        <v>2500</v>
      </c>
      <c r="C181" s="36" t="inlineStr">
        <is>
          <t>Gesundheitswesen</t>
        </is>
      </c>
      <c r="D181" s="36" t="inlineStr">
        <is>
          <t>Reutlingen</t>
        </is>
      </c>
    </row>
    <row r="182" ht="14.25" customHeight="1" s="20">
      <c r="A182" s="36" t="inlineStr">
        <is>
          <t>Kreissparkasse Biberach</t>
        </is>
      </c>
      <c r="B182" s="36" t="n">
        <v>890</v>
      </c>
      <c r="C182" s="36" t="inlineStr">
        <is>
          <t>Kreditwirtschaft</t>
        </is>
      </c>
      <c r="D182" s="36" t="inlineStr">
        <is>
          <t>Biberach an der Riß</t>
        </is>
      </c>
    </row>
    <row r="183" ht="14.25" customHeight="1" s="20">
      <c r="A183" s="36" t="inlineStr">
        <is>
          <t>Kreissparkasse Böblingen</t>
        </is>
      </c>
      <c r="B183" s="36" t="n">
        <v>1167</v>
      </c>
      <c r="C183" s="36" t="inlineStr">
        <is>
          <t>Kreditwirtschaft</t>
        </is>
      </c>
      <c r="D183" s="36" t="inlineStr">
        <is>
          <t>Böblingen</t>
        </is>
      </c>
    </row>
    <row r="184" ht="14.25" customHeight="1" s="20">
      <c r="A184" s="36" t="inlineStr">
        <is>
          <t>Kreissparkasse Esslingen-Nürtingen</t>
        </is>
      </c>
      <c r="B184" s="36" t="n">
        <v>1386</v>
      </c>
      <c r="C184" s="36" t="inlineStr">
        <is>
          <t>Kreditwirtschaft</t>
        </is>
      </c>
      <c r="D184" s="36" t="inlineStr">
        <is>
          <t>Esslingen am Neckar</t>
        </is>
      </c>
    </row>
    <row r="185" ht="14.25" customHeight="1" s="20">
      <c r="A185" s="36" t="inlineStr">
        <is>
          <t>Kreissparkasse Göppingen</t>
        </is>
      </c>
      <c r="B185" s="36" t="n">
        <v>1080</v>
      </c>
      <c r="C185" s="36" t="inlineStr">
        <is>
          <t>Kreditwirtschaft</t>
        </is>
      </c>
      <c r="D185" s="36" t="inlineStr">
        <is>
          <t>Göppingen</t>
        </is>
      </c>
    </row>
    <row r="186" ht="14.25" customHeight="1" s="20">
      <c r="A186" s="36" t="inlineStr">
        <is>
          <t>Kreissparkasse Heilbronn</t>
        </is>
      </c>
      <c r="B186" s="36" t="n">
        <v>1642</v>
      </c>
      <c r="C186" s="36" t="inlineStr">
        <is>
          <t>Kreditwirtschaft</t>
        </is>
      </c>
      <c r="D186" s="36" t="inlineStr">
        <is>
          <t>Heilbronn</t>
        </is>
      </c>
    </row>
    <row r="187" ht="14.25" customHeight="1" s="20">
      <c r="A187" s="36" t="inlineStr">
        <is>
          <t>Kreissparkasse Ludwigsburg</t>
        </is>
      </c>
      <c r="B187" s="36" t="n">
        <v>1397</v>
      </c>
      <c r="C187" s="36" t="inlineStr">
        <is>
          <t>Kreditwirtschaft</t>
        </is>
      </c>
      <c r="D187" s="36" t="inlineStr">
        <is>
          <t>Ludwigsburg</t>
        </is>
      </c>
    </row>
    <row r="188" ht="14.25" customHeight="1" s="20">
      <c r="A188" s="36" t="inlineStr">
        <is>
          <t>Kreissparkasse Ostalb</t>
        </is>
      </c>
      <c r="B188" s="36" t="n">
        <v>891</v>
      </c>
      <c r="C188" s="36" t="inlineStr">
        <is>
          <t>Kreditwirtschaft</t>
        </is>
      </c>
      <c r="D188" s="36" t="inlineStr">
        <is>
          <t>Aalen</t>
        </is>
      </c>
    </row>
    <row r="189" ht="14.25" customHeight="1" s="20">
      <c r="A189" s="36" t="inlineStr">
        <is>
          <t>Kreissparkasse Ravensburg</t>
        </is>
      </c>
      <c r="B189" s="36" t="n">
        <v>700</v>
      </c>
      <c r="C189" s="36" t="inlineStr">
        <is>
          <t>Kreditwirtschaft</t>
        </is>
      </c>
      <c r="D189" s="36" t="inlineStr">
        <is>
          <t>Ravensburg</t>
        </is>
      </c>
    </row>
    <row r="190" ht="14.25" customHeight="1" s="20">
      <c r="A190" s="36" t="inlineStr">
        <is>
          <t>Kreissparkasse Reutlingen</t>
        </is>
      </c>
      <c r="B190" s="36" t="n">
        <v>842</v>
      </c>
      <c r="C190" s="36" t="inlineStr">
        <is>
          <t>Kreditwirtschaft</t>
        </is>
      </c>
      <c r="D190" s="36" t="inlineStr">
        <is>
          <t>Reutlingen</t>
        </is>
      </c>
    </row>
    <row r="191" ht="14.25" customHeight="1" s="20">
      <c r="A191" s="36" t="inlineStr">
        <is>
          <t>Kreissparkasse Tübingen</t>
        </is>
      </c>
      <c r="B191" s="36" t="n">
        <v>857</v>
      </c>
      <c r="C191" s="36" t="inlineStr">
        <is>
          <t>Kreditwirtschaft</t>
        </is>
      </c>
      <c r="D191" s="36" t="inlineStr">
        <is>
          <t>Tübingen</t>
        </is>
      </c>
    </row>
    <row r="192" ht="14.25" customHeight="1" s="20">
      <c r="A192" s="36" t="inlineStr">
        <is>
          <t>Kreissparkasse Waiblingen</t>
        </is>
      </c>
      <c r="B192" s="36" t="n">
        <v>1282</v>
      </c>
      <c r="C192" s="36" t="inlineStr">
        <is>
          <t>Kreditwirtschaft</t>
        </is>
      </c>
      <c r="D192" s="36" t="inlineStr">
        <is>
          <t>Waiblingen</t>
        </is>
      </c>
    </row>
    <row r="193" ht="14.25" customHeight="1" s="20">
      <c r="A193" s="36" t="inlineStr">
        <is>
          <t>Lapp Holding AG</t>
        </is>
      </c>
      <c r="B193" s="36" t="n">
        <v>4245</v>
      </c>
      <c r="C193" s="36" t="inlineStr">
        <is>
          <t>Elektrotechnik</t>
        </is>
      </c>
      <c r="D193" s="36" t="inlineStr">
        <is>
          <t>Stuttgart</t>
        </is>
      </c>
      <c r="E193" t="inlineStr">
        <is>
          <t>Eigenes Portal</t>
        </is>
      </c>
      <c r="F193" t="inlineStr">
        <is>
          <t>https://www.lapp.com/de/de/unternehmen/karriere/e/000013</t>
        </is>
      </c>
    </row>
    <row r="194" ht="14.25" customHeight="1" s="20">
      <c r="A194" s="36" t="inlineStr">
        <is>
          <t>LÄPPLE AG</t>
        </is>
      </c>
      <c r="B194" s="36" t="n">
        <v>2100</v>
      </c>
      <c r="C194" s="36" t="inlineStr">
        <is>
          <t>Umformtechnik</t>
        </is>
      </c>
      <c r="D194" s="36" t="inlineStr">
        <is>
          <t>Heilbronn</t>
        </is>
      </c>
    </row>
    <row r="195" ht="14.25" customHeight="1" s="20">
      <c r="A195" s="36" t="inlineStr">
        <is>
          <t>LBBW</t>
        </is>
      </c>
      <c r="B195" s="36" t="n">
        <v>10000</v>
      </c>
      <c r="C195" s="36" t="inlineStr">
        <is>
          <t>Kreditwirtschaft</t>
        </is>
      </c>
      <c r="D195" s="36" t="inlineStr">
        <is>
          <t>Stuttgart</t>
        </is>
      </c>
      <c r="E195" s="19" t="inlineStr">
        <is>
          <t>Eigenes Portal</t>
        </is>
      </c>
      <c r="F195" s="19" t="inlineStr">
        <is>
          <t>https://www.lbbw.de/menschen/karriere/karriere-bei-der-lbbw/karriere_7wo376iug_d.html</t>
        </is>
      </c>
    </row>
    <row r="196" ht="14.25" customHeight="1" s="20">
      <c r="A196" s="36" t="inlineStr">
        <is>
          <t>LBS Landesbausparkasse Süd</t>
        </is>
      </c>
      <c r="B196" s="36" t="n">
        <v>1510</v>
      </c>
      <c r="C196" s="36" t="inlineStr">
        <is>
          <t>Kreditwirtschaft</t>
        </is>
      </c>
      <c r="D196" s="36" t="inlineStr">
        <is>
          <t>Stuttgart</t>
        </is>
      </c>
    </row>
    <row r="197" ht="14.25" customHeight="1" s="20">
      <c r="A197" s="36" t="inlineStr">
        <is>
          <t>LEONHARD WEISS GmbH &amp; Co. KG</t>
        </is>
      </c>
      <c r="B197" s="36" t="n">
        <v>6269</v>
      </c>
      <c r="C197" s="36" t="inlineStr">
        <is>
          <t>Bauwirtschaft</t>
        </is>
      </c>
      <c r="D197" s="36" t="inlineStr">
        <is>
          <t>Göppingen</t>
        </is>
      </c>
    </row>
    <row r="198" ht="14.25" customHeight="1" s="20">
      <c r="A198" s="36" t="inlineStr">
        <is>
          <t>Leuze electronic GmbH + Co. KG</t>
        </is>
      </c>
      <c r="B198" s="36" t="n">
        <v>1670</v>
      </c>
      <c r="C198" s="36" t="inlineStr">
        <is>
          <t>Industriesensorik</t>
        </is>
      </c>
      <c r="D198" s="36" t="inlineStr">
        <is>
          <t>Owen</t>
        </is>
      </c>
    </row>
    <row r="199" ht="14.25" customHeight="1" s="20">
      <c r="A199" s="36" t="inlineStr">
        <is>
          <t>LGI Logistics Group International GmbH</t>
        </is>
      </c>
      <c r="B199" s="36" t="n">
        <v>5000</v>
      </c>
      <c r="C199" s="36" t="inlineStr">
        <is>
          <t>Logistik</t>
        </is>
      </c>
      <c r="D199" s="36" t="inlineStr">
        <is>
          <t>Böblingen</t>
        </is>
      </c>
      <c r="E199" s="19" t="inlineStr">
        <is>
          <t>Eigenes Portal</t>
        </is>
      </c>
      <c r="F199" s="19" t="inlineStr">
        <is>
          <t>https://lgigroup.com/de-de/karriere/stellenangebote/</t>
        </is>
      </c>
    </row>
    <row r="200" ht="14.25" customHeight="1" s="20">
      <c r="A200" s="36" t="inlineStr">
        <is>
          <t>LIQUI MOLY GmbH</t>
        </is>
      </c>
      <c r="B200" s="36" t="n">
        <v>1150</v>
      </c>
      <c r="C200" s="36" t="inlineStr">
        <is>
          <t>Mineralölverarbeitung</t>
        </is>
      </c>
      <c r="D200" s="36" t="inlineStr">
        <is>
          <t>Ulm</t>
        </is>
      </c>
    </row>
    <row r="201" ht="14.25" customHeight="1" s="20">
      <c r="A201" s="36" t="inlineStr">
        <is>
          <t>Magirus GmbH</t>
        </is>
      </c>
      <c r="B201" s="36" t="n">
        <v>1400</v>
      </c>
      <c r="C201" s="36" t="inlineStr">
        <is>
          <t>Fahrzeugbau</t>
        </is>
      </c>
      <c r="D201" s="36" t="inlineStr">
        <is>
          <t>Ulm</t>
        </is>
      </c>
    </row>
    <row r="202" ht="14.25" customHeight="1" s="20">
      <c r="A202" s="36" t="inlineStr">
        <is>
          <t>MAHLE GmbH</t>
        </is>
      </c>
      <c r="B202" s="36" t="n">
        <v>72373</v>
      </c>
      <c r="C202" s="36" t="inlineStr">
        <is>
          <t>Automobilzulieferer</t>
        </is>
      </c>
      <c r="D202" s="36" t="inlineStr">
        <is>
          <t>Stuttgart</t>
        </is>
      </c>
      <c r="E202" s="19" t="inlineStr">
        <is>
          <t>SAP SuccessFactors</t>
        </is>
      </c>
      <c r="F202" s="19" t="inlineStr">
        <is>
          <t>https://www.jobs.mahle.com/germany/de/</t>
        </is>
      </c>
    </row>
    <row r="203" ht="14.25" customHeight="1" s="20">
      <c r="A203" s="36" t="inlineStr">
        <is>
          <t>MANN+HUMMEL Gruppe</t>
        </is>
      </c>
      <c r="B203" s="36" t="n">
        <v>22015</v>
      </c>
      <c r="C203" s="36" t="inlineStr">
        <is>
          <t>Filtration</t>
        </is>
      </c>
      <c r="D203" s="36" t="inlineStr">
        <is>
          <t>Ludwigsburg</t>
        </is>
      </c>
      <c r="E203" s="19" t="inlineStr">
        <is>
          <t>Eigenes Portal</t>
        </is>
      </c>
      <c r="F203" s="19" t="inlineStr">
        <is>
          <t>https://www.mann-hummel.com/de/karriere.html</t>
        </is>
      </c>
    </row>
    <row r="204" ht="14.25" customHeight="1" s="20">
      <c r="A204" s="36" t="inlineStr">
        <is>
          <t>Mannheimer Versicherung AG</t>
        </is>
      </c>
      <c r="B204" s="36" t="n">
        <v>682</v>
      </c>
      <c r="C204" s="36" t="inlineStr">
        <is>
          <t>Versicherung</t>
        </is>
      </c>
      <c r="D204" s="36" t="inlineStr">
        <is>
          <t>Mannheim</t>
        </is>
      </c>
    </row>
    <row r="205" ht="14.25" customHeight="1" s="20">
      <c r="A205" s="36" t="inlineStr">
        <is>
          <t>Manz AG</t>
        </is>
      </c>
      <c r="B205" s="36" t="n">
        <v>1200</v>
      </c>
      <c r="C205" s="36" t="inlineStr">
        <is>
          <t>Maschinenbau</t>
        </is>
      </c>
      <c r="D205" s="36" t="inlineStr">
        <is>
          <t>Reutlingen</t>
        </is>
      </c>
    </row>
    <row r="206" ht="14.25" customHeight="1" s="20">
      <c r="A206" s="36" t="inlineStr">
        <is>
          <t>MAPAL Fabrik für Präzisionswerkzeuge</t>
        </is>
      </c>
      <c r="B206" s="36" t="n">
        <v>1650</v>
      </c>
      <c r="C206" s="36" t="inlineStr">
        <is>
          <t>Werkzeugmaschinenbau</t>
        </is>
      </c>
      <c r="D206" s="36" t="inlineStr">
        <is>
          <t>Aalen</t>
        </is>
      </c>
    </row>
    <row r="207" ht="14.25" customHeight="1" s="20">
      <c r="A207" s="36" t="inlineStr">
        <is>
          <t>Marelli Germany GmbH</t>
        </is>
      </c>
      <c r="B207" s="36" t="n">
        <v>19000</v>
      </c>
      <c r="C207" s="36" t="inlineStr">
        <is>
          <t>Automobilzulieferer</t>
        </is>
      </c>
      <c r="D207" s="36" t="inlineStr">
        <is>
          <t>Reutlingen</t>
        </is>
      </c>
      <c r="E207" s="19" t="inlineStr">
        <is>
          <t>Eigenes Portal</t>
        </is>
      </c>
      <c r="F207" s="19" t="inlineStr">
        <is>
          <t>https://jobs.marelli.com/?locale=de_DE</t>
        </is>
      </c>
    </row>
    <row r="208" ht="14.25" customHeight="1" s="20">
      <c r="A208" s="36" t="inlineStr">
        <is>
          <t>Marquardt</t>
        </is>
      </c>
      <c r="B208" s="36" t="n">
        <v>10000</v>
      </c>
      <c r="C208" s="36" t="inlineStr">
        <is>
          <t>Metall- und Elektroindustrie</t>
        </is>
      </c>
      <c r="D208" s="36" t="inlineStr">
        <is>
          <t>Rietheim-Weilheim</t>
        </is>
      </c>
      <c r="E208" s="19" t="inlineStr">
        <is>
          <t>Eigenes Portal</t>
        </is>
      </c>
      <c r="F208" s="19" t="inlineStr">
        <is>
          <t>https://www.marquardt.com/de/karriere/standorte/deutschland</t>
        </is>
      </c>
    </row>
    <row r="209" ht="14.25" customHeight="1" s="20">
      <c r="A209" s="36" t="inlineStr">
        <is>
          <t>Maschinenfabrik ALFING Kessler GmbH</t>
        </is>
      </c>
      <c r="B209" s="36" t="n">
        <v>1200</v>
      </c>
      <c r="C209" s="36" t="inlineStr">
        <is>
          <t>Kurbelwellen</t>
        </is>
      </c>
      <c r="D209" s="36" t="inlineStr">
        <is>
          <t>Aalen-Wasseralfingen</t>
        </is>
      </c>
    </row>
    <row r="210" ht="14.25" customHeight="1" s="20">
      <c r="A210" s="36" t="inlineStr">
        <is>
          <t>Maschinenfabrik Berthold Hermle AG</t>
        </is>
      </c>
      <c r="B210" s="36" t="n">
        <v>1500</v>
      </c>
      <c r="C210" s="36" t="inlineStr">
        <is>
          <t>Werkzeugmaschinenbau</t>
        </is>
      </c>
      <c r="D210" s="36" t="inlineStr">
        <is>
          <t>Gosheim</t>
        </is>
      </c>
    </row>
    <row r="211" ht="14.25" customHeight="1" s="20">
      <c r="A211" s="36" t="inlineStr">
        <is>
          <t>MEIKO Maschinenbau GmbH &amp; Co. KG</t>
        </is>
      </c>
      <c r="B211" s="36" t="n">
        <v>1000</v>
      </c>
      <c r="C211" s="36" t="inlineStr">
        <is>
          <t>Maschinenbau</t>
        </is>
      </c>
      <c r="D211" s="36" t="inlineStr">
        <is>
          <t>Offenburg</t>
        </is>
      </c>
    </row>
    <row r="212" ht="14.25" customHeight="1" s="20">
      <c r="A212" s="36" t="inlineStr">
        <is>
          <t>Mercedes-AMG GmbH</t>
        </is>
      </c>
      <c r="B212" s="36" t="n">
        <v>2600</v>
      </c>
      <c r="C212" s="36" t="inlineStr">
        <is>
          <t>Fahrzeugbau</t>
        </is>
      </c>
      <c r="D212" s="36" t="inlineStr">
        <is>
          <t>Affalterbach</t>
        </is>
      </c>
    </row>
    <row r="213" ht="14.25" customHeight="1" s="20">
      <c r="A213" s="36" t="inlineStr">
        <is>
          <t>Mercedes-Benz Bank AG</t>
        </is>
      </c>
      <c r="B213" s="36" t="n"/>
      <c r="C213" s="36" t="inlineStr">
        <is>
          <t>Kreditwirtschaft</t>
        </is>
      </c>
      <c r="D213" s="36" t="inlineStr">
        <is>
          <t>Stuttgart</t>
        </is>
      </c>
    </row>
    <row r="214" ht="14.25" customHeight="1" s="20">
      <c r="A214" s="36" t="inlineStr">
        <is>
          <t>Mercedes-Benz Group AG</t>
        </is>
      </c>
      <c r="B214" s="36" t="n">
        <v>166000</v>
      </c>
      <c r="C214" s="36" t="inlineStr">
        <is>
          <t>Automobilhersteller</t>
        </is>
      </c>
      <c r="D214" s="36" t="inlineStr">
        <is>
          <t>Stuttgart</t>
        </is>
      </c>
      <c r="E214" s="19" t="inlineStr">
        <is>
          <t>Eigenes Portal</t>
        </is>
      </c>
      <c r="F214" s="19" t="inlineStr">
        <is>
          <t>https://jobs.mercedes-benz.com/</t>
        </is>
      </c>
    </row>
    <row r="215" ht="14.25" customHeight="1" s="20">
      <c r="A215" s="36" t="inlineStr">
        <is>
          <t>Metabowerke GmbH</t>
        </is>
      </c>
      <c r="B215" s="36" t="n">
        <v>2000</v>
      </c>
      <c r="C215" s="36" t="inlineStr">
        <is>
          <t>Elektrowerkzeuge</t>
        </is>
      </c>
      <c r="D215" s="36" t="inlineStr">
        <is>
          <t>Nürtingen</t>
        </is>
      </c>
    </row>
    <row r="216" ht="14.25" customHeight="1" s="20">
      <c r="A216" s="36" t="inlineStr">
        <is>
          <t>MHP Management- und IT-Beratung GmbH</t>
        </is>
      </c>
      <c r="B216" s="36" t="n">
        <v>5200</v>
      </c>
      <c r="C216" s="36" t="inlineStr">
        <is>
          <t>Management- und IT-Beratung</t>
        </is>
      </c>
      <c r="D216" s="36" t="inlineStr">
        <is>
          <t>Ludwigsburg</t>
        </is>
      </c>
      <c r="E216" s="19" t="inlineStr">
        <is>
          <t>Eigenes Portal</t>
        </is>
      </c>
      <c r="F216" s="19" t="inlineStr">
        <is>
          <t>https://jobs.mhp.com/</t>
        </is>
      </c>
    </row>
    <row r="217" ht="14.25" customHeight="1" s="20">
      <c r="A217" s="36" t="inlineStr">
        <is>
          <t>MHZ Hachtel GmbH &amp; Co. KG</t>
        </is>
      </c>
      <c r="B217" s="36" t="n">
        <v>1600</v>
      </c>
      <c r="C217" s="36" t="inlineStr">
        <is>
          <t>Blend- und Sonnenschutz</t>
        </is>
      </c>
      <c r="D217" s="36" t="inlineStr">
        <is>
          <t>Leinfelden-Echterdingen</t>
        </is>
      </c>
    </row>
    <row r="218" ht="14.25" customHeight="1" s="20">
      <c r="A218" s="36" t="inlineStr">
        <is>
          <t>Michael Weinig AG</t>
        </is>
      </c>
      <c r="B218" s="36" t="n">
        <v>2483</v>
      </c>
      <c r="C218" s="36" t="inlineStr">
        <is>
          <t>Holzbearbeitungsmaschinen</t>
        </is>
      </c>
      <c r="D218" s="36" t="inlineStr">
        <is>
          <t>Tauberbischofsheim</t>
        </is>
      </c>
    </row>
    <row r="219" ht="14.25" customHeight="1" s="20">
      <c r="A219" s="36" t="inlineStr">
        <is>
          <t>Michelin Gruppe</t>
        </is>
      </c>
      <c r="B219" s="36" t="n">
        <v>132500</v>
      </c>
      <c r="C219" s="36" t="inlineStr">
        <is>
          <t>Reifenhersteller</t>
        </is>
      </c>
      <c r="D219" s="36" t="inlineStr">
        <is>
          <t>Clermont-Ferrand (F) / Karlsruhe</t>
        </is>
      </c>
      <c r="E219" s="19" t="inlineStr">
        <is>
          <t>Workday</t>
        </is>
      </c>
      <c r="F219" s="19" t="inlineStr">
        <is>
          <t>https://jobs.michelin.de/</t>
        </is>
      </c>
      <c r="G219" s="19" t="inlineStr">
        <is>
          <t>https://michelinhr.wd3.myworkdayjobs.com/wday/cxs/michelinhr/Michelin/jobs</t>
        </is>
      </c>
    </row>
    <row r="220" ht="14.25" customHeight="1" s="20">
      <c r="A220" s="36" t="inlineStr">
        <is>
          <t>MiRO Mineraloelraffinerie Oberrhein GmbH &amp; Co. KG</t>
        </is>
      </c>
      <c r="B220" s="36" t="n">
        <v>1151</v>
      </c>
      <c r="C220" s="36" t="inlineStr">
        <is>
          <t>Rohölverarbeitung</t>
        </is>
      </c>
      <c r="D220" s="36" t="inlineStr">
        <is>
          <t>Karlsruhe</t>
        </is>
      </c>
    </row>
    <row r="221" ht="14.25" customHeight="1" s="20">
      <c r="A221" s="36" t="inlineStr">
        <is>
          <t>MLP SE</t>
        </is>
      </c>
      <c r="B221" s="36" t="n">
        <v>2663</v>
      </c>
      <c r="C221" s="36" t="inlineStr">
        <is>
          <t>Finanzdienstleistungen</t>
        </is>
      </c>
      <c r="D221" s="36" t="inlineStr">
        <is>
          <t>Wiesloch</t>
        </is>
      </c>
    </row>
    <row r="222" ht="14.25" customHeight="1" s="20">
      <c r="A222" s="36" t="inlineStr">
        <is>
          <t>Mosca GmbH</t>
        </is>
      </c>
      <c r="B222" s="36" t="n">
        <v>1350</v>
      </c>
      <c r="C222" s="36" t="inlineStr">
        <is>
          <t>Maschinenbau</t>
        </is>
      </c>
      <c r="D222" s="36" t="inlineStr">
        <is>
          <t>Waldbrunn</t>
        </is>
      </c>
    </row>
    <row r="223" ht="14.25" customHeight="1" s="20">
      <c r="A223" s="36" t="inlineStr">
        <is>
          <t>MOSOLF SE &amp; Co. KG</t>
        </is>
      </c>
      <c r="B223" s="36" t="n">
        <v>3200</v>
      </c>
      <c r="C223" s="36" t="inlineStr">
        <is>
          <t>Automobilindustrie</t>
        </is>
      </c>
      <c r="D223" s="36" t="inlineStr">
        <is>
          <t>Kirchheim unter Teck</t>
        </is>
      </c>
    </row>
    <row r="224" ht="14.25" customHeight="1" s="20">
      <c r="A224" s="36" t="inlineStr">
        <is>
          <t>Müller - Die lila Logistik SE</t>
        </is>
      </c>
      <c r="B224" s="36" t="n">
        <v>2300</v>
      </c>
      <c r="C224" s="36" t="inlineStr">
        <is>
          <t>Logistik</t>
        </is>
      </c>
      <c r="D224" s="36" t="inlineStr">
        <is>
          <t>Besigheim</t>
        </is>
      </c>
    </row>
    <row r="225" ht="14.25" customHeight="1" s="20">
      <c r="A225" s="36" t="inlineStr">
        <is>
          <t>Müller Holding GmbH &amp; Co.KG</t>
        </is>
      </c>
      <c r="B225" s="36" t="n">
        <v>35600</v>
      </c>
      <c r="C225" s="36" t="inlineStr">
        <is>
          <t>Drogerieeinzelhandel</t>
        </is>
      </c>
      <c r="D225" s="36" t="inlineStr">
        <is>
          <t>Ulm</t>
        </is>
      </c>
    </row>
    <row r="226" ht="14.25" customHeight="1" s="20">
      <c r="A226" s="36" t="inlineStr">
        <is>
          <t>Murrelektronik GmbH</t>
        </is>
      </c>
      <c r="B226" s="36" t="n">
        <v>3200</v>
      </c>
      <c r="C226" s="36" t="inlineStr">
        <is>
          <t>Automatisierungstechnik</t>
        </is>
      </c>
      <c r="D226" s="36" t="inlineStr">
        <is>
          <t>Oppenweiler</t>
        </is>
      </c>
    </row>
    <row r="227" ht="14.25" customHeight="1" s="20">
      <c r="A227" s="36" t="inlineStr">
        <is>
          <t>MVV Energie AG</t>
        </is>
      </c>
      <c r="B227" s="36" t="n">
        <v>6390</v>
      </c>
      <c r="C227" s="36" t="inlineStr">
        <is>
          <t>Energie- und Wasserversorgung</t>
        </is>
      </c>
      <c r="D227" s="36" t="inlineStr">
        <is>
          <t>Mannheim</t>
        </is>
      </c>
      <c r="E227" s="19" t="inlineStr">
        <is>
          <t>Eigenes Portal</t>
        </is>
      </c>
      <c r="F227" s="19" t="inlineStr">
        <is>
          <t>https://www.mvv.de/karriere</t>
        </is>
      </c>
    </row>
    <row r="228" ht="14.25" customHeight="1" s="20">
      <c r="A228" s="36" t="inlineStr">
        <is>
          <t>Neff GmbH</t>
        </is>
      </c>
      <c r="B228" s="36" t="n">
        <v>1250</v>
      </c>
      <c r="C228" s="36" t="inlineStr">
        <is>
          <t>Haushaltsgeräte</t>
        </is>
      </c>
      <c r="D228" s="36" t="inlineStr">
        <is>
          <t>Bretten</t>
        </is>
      </c>
    </row>
    <row r="229" ht="14.25" customHeight="1" s="20">
      <c r="A229" s="36" t="inlineStr">
        <is>
          <t>Neue Pressegesellschaft mbH &amp; Co. KG</t>
        </is>
      </c>
      <c r="B229" s="36" t="n">
        <v>9500</v>
      </c>
      <c r="C229" s="36" t="inlineStr">
        <is>
          <t>Verlage</t>
        </is>
      </c>
      <c r="D229" s="36" t="inlineStr">
        <is>
          <t>Ulm</t>
        </is>
      </c>
    </row>
    <row r="230" ht="14.25" customHeight="1" s="20">
      <c r="A230" s="36" t="inlineStr">
        <is>
          <t>Nokia (Nokia Solutions and Networks)</t>
        </is>
      </c>
      <c r="B230" s="36" t="n">
        <v>86000</v>
      </c>
      <c r="C230" s="36" t="inlineStr">
        <is>
          <t>Nachrichtentechnik</t>
        </is>
      </c>
      <c r="D230" s="36" t="inlineStr">
        <is>
          <t>Espoo/Ulm</t>
        </is>
      </c>
      <c r="E230" s="19" t="inlineStr">
        <is>
          <t>Eigenes Portal</t>
        </is>
      </c>
      <c r="F230" s="19" t="inlineStr">
        <is>
          <t>https://jobs.nokia.com/</t>
        </is>
      </c>
    </row>
    <row r="231" ht="14.25" customHeight="1" s="20">
      <c r="A231" s="36" t="inlineStr">
        <is>
          <t>Oberschwabenklinik gGmbH</t>
        </is>
      </c>
      <c r="B231" s="36" t="n">
        <v>2818</v>
      </c>
      <c r="C231" s="36" t="inlineStr">
        <is>
          <t>Gesundheitswesen</t>
        </is>
      </c>
      <c r="D231" s="36" t="inlineStr">
        <is>
          <t>Ravensburg</t>
        </is>
      </c>
    </row>
    <row r="232" ht="14.25" customHeight="1" s="20">
      <c r="A232" s="36" t="inlineStr">
        <is>
          <t>OPTIMA packaging group GmbH</t>
        </is>
      </c>
      <c r="B232" s="36" t="n">
        <v>3150</v>
      </c>
      <c r="C232" s="36" t="inlineStr">
        <is>
          <t>Sondermaschinenbau</t>
        </is>
      </c>
      <c r="D232" s="36" t="inlineStr">
        <is>
          <t>Schwäbisch Hall</t>
        </is>
      </c>
    </row>
    <row r="233" ht="14.25" customHeight="1" s="20">
      <c r="A233" s="36" t="inlineStr">
        <is>
          <t>Papierfabrik Palm</t>
        </is>
      </c>
      <c r="B233" s="36" t="n">
        <v>4300</v>
      </c>
      <c r="C233" s="36" t="inlineStr">
        <is>
          <t>Papierherstellung</t>
        </is>
      </c>
      <c r="D233" s="36" t="inlineStr">
        <is>
          <t>Aalen</t>
        </is>
      </c>
    </row>
    <row r="234" ht="14.25" customHeight="1" s="20">
      <c r="A234" s="36" t="inlineStr">
        <is>
          <t>Paul Hartmann AG</t>
        </is>
      </c>
      <c r="B234" s="36" t="n">
        <v>10168</v>
      </c>
      <c r="C234" s="36" t="inlineStr">
        <is>
          <t>Medizin-/Hygieneprodukte</t>
        </is>
      </c>
      <c r="D234" s="36" t="inlineStr">
        <is>
          <t>Heidenheim</t>
        </is>
      </c>
      <c r="E234" s="19" t="inlineStr">
        <is>
          <t>Eigenes Portal</t>
        </is>
      </c>
      <c r="F234" s="19" t="inlineStr">
        <is>
          <t>https://careers.hartmann.info/</t>
        </is>
      </c>
    </row>
    <row r="235" ht="14.25" customHeight="1" s="20">
      <c r="A235" s="36" t="inlineStr">
        <is>
          <t>Paulinenpflege Winnenden e. V.</t>
        </is>
      </c>
      <c r="B235" s="36" t="n">
        <v>1645</v>
      </c>
      <c r="C235" s="36" t="inlineStr">
        <is>
          <t>Soziale Unternehmen</t>
        </is>
      </c>
      <c r="D235" s="36" t="inlineStr">
        <is>
          <t>Winnenden</t>
        </is>
      </c>
    </row>
    <row r="236" ht="14.25" customHeight="1" s="20">
      <c r="A236" s="36" t="inlineStr">
        <is>
          <t>pfenning logistics group</t>
        </is>
      </c>
      <c r="B236" s="36" t="n">
        <v>3700</v>
      </c>
      <c r="C236" s="36" t="inlineStr">
        <is>
          <t>Logistik und Transport</t>
        </is>
      </c>
      <c r="D236" s="36" t="inlineStr">
        <is>
          <t>Heddesheim</t>
        </is>
      </c>
    </row>
    <row r="237" ht="14.25" customHeight="1" s="20">
      <c r="A237" s="36" t="inlineStr">
        <is>
          <t>PHOENIX group</t>
        </is>
      </c>
      <c r="B237" s="36" t="n">
        <v>48000</v>
      </c>
      <c r="C237" s="36" t="inlineStr">
        <is>
          <t>Pharmagroßhandel</t>
        </is>
      </c>
      <c r="D237" s="36" t="inlineStr">
        <is>
          <t>Mannheim</t>
        </is>
      </c>
      <c r="E237" s="19" t="inlineStr">
        <is>
          <t>Eigenes Portal</t>
        </is>
      </c>
      <c r="F237" s="19" t="inlineStr">
        <is>
          <t>https://www.phoenixgroup.eu/de/karriere/jobs</t>
        </is>
      </c>
    </row>
    <row r="238" ht="14.25" customHeight="1" s="20">
      <c r="A238" s="36" t="inlineStr">
        <is>
          <t>Pilz GmbH &amp; Co. KG</t>
        </is>
      </c>
      <c r="B238" s="36" t="n">
        <v>2500</v>
      </c>
      <c r="C238" s="36" t="inlineStr">
        <is>
          <t>Automatisierungstechnik</t>
        </is>
      </c>
      <c r="D238" s="36" t="inlineStr">
        <is>
          <t>Ostfildern</t>
        </is>
      </c>
    </row>
    <row r="239" ht="14.25" customHeight="1" s="20">
      <c r="A239" s="36" t="inlineStr">
        <is>
          <t>Pneuhage Management GmbH &amp; Co. KG</t>
        </is>
      </c>
      <c r="B239" s="36" t="n">
        <v>2400</v>
      </c>
      <c r="C239" s="36" t="inlineStr">
        <is>
          <t>Reifenhandel</t>
        </is>
      </c>
      <c r="D239" s="36" t="inlineStr">
        <is>
          <t>Karlsruhe</t>
        </is>
      </c>
    </row>
    <row r="240" ht="14.25" customHeight="1" s="20">
      <c r="A240" s="36" t="inlineStr">
        <is>
          <t>Prettl Unternehmensgruppe</t>
        </is>
      </c>
      <c r="B240" s="36" t="n">
        <v>10000</v>
      </c>
      <c r="C240" s="36" t="inlineStr">
        <is>
          <t>Automotive, Electronics</t>
        </is>
      </c>
      <c r="D240" s="36" t="inlineStr">
        <is>
          <t>Pfullingen</t>
        </is>
      </c>
    </row>
    <row r="241" ht="14.25" customHeight="1" s="20">
      <c r="A241" s="36" t="inlineStr">
        <is>
          <t>ProServ Produktionsservice und Personaldienste GmbH</t>
        </is>
      </c>
      <c r="B241" s="36" t="n">
        <v>1100</v>
      </c>
      <c r="C241" s="36" t="inlineStr">
        <is>
          <t>Personaldienstleistungen</t>
        </is>
      </c>
      <c r="D241" s="36" t="inlineStr">
        <is>
          <t>Karlsruhe</t>
        </is>
      </c>
    </row>
    <row r="242" ht="14.25" customHeight="1" s="20">
      <c r="A242" s="36" t="inlineStr">
        <is>
          <t>Putzmeister Holding GmbH</t>
        </is>
      </c>
      <c r="B242" s="36" t="n">
        <v>3100</v>
      </c>
      <c r="C242" s="36" t="inlineStr">
        <is>
          <t>Maschinenbau</t>
        </is>
      </c>
      <c r="D242" s="36" t="inlineStr">
        <is>
          <t>Aichtal</t>
        </is>
      </c>
    </row>
    <row r="243" ht="14.25" customHeight="1" s="20">
      <c r="A243" s="36" t="inlineStr">
        <is>
          <t>PWO AG</t>
        </is>
      </c>
      <c r="B243" s="36" t="n">
        <v>3191</v>
      </c>
      <c r="C243" s="36" t="inlineStr">
        <is>
          <t>Automobilzulieferer</t>
        </is>
      </c>
      <c r="D243" s="36" t="inlineStr">
        <is>
          <t>Oberkirch</t>
        </is>
      </c>
    </row>
    <row r="244" ht="14.25" customHeight="1" s="20">
      <c r="A244" s="36" t="inlineStr">
        <is>
          <t>R. Stahl Aktiengesellschaft</t>
        </is>
      </c>
      <c r="B244" s="36" t="n">
        <v>1754</v>
      </c>
      <c r="C244" s="36" t="inlineStr">
        <is>
          <t>Elektrotechnik</t>
        </is>
      </c>
      <c r="D244" s="36" t="inlineStr">
        <is>
          <t>Waldenburg</t>
        </is>
      </c>
    </row>
    <row r="245" ht="14.25" customHeight="1" s="20">
      <c r="A245" s="36" t="inlineStr">
        <is>
          <t>RAFI GmbH &amp; Co. KG</t>
        </is>
      </c>
      <c r="B245" s="36" t="n">
        <v>1200</v>
      </c>
      <c r="C245" s="36" t="inlineStr">
        <is>
          <t>Elektrotechnik</t>
        </is>
      </c>
      <c r="D245" s="36" t="inlineStr">
        <is>
          <t>Berg</t>
        </is>
      </c>
    </row>
    <row r="246" ht="14.25" customHeight="1" s="20">
      <c r="A246" s="36" t="inlineStr">
        <is>
          <t>Ravensburger AG</t>
        </is>
      </c>
      <c r="B246" s="36" t="n">
        <v>2414</v>
      </c>
      <c r="C246" s="36" t="inlineStr">
        <is>
          <t>Verlagswesen</t>
        </is>
      </c>
      <c r="D246" s="36" t="inlineStr">
        <is>
          <t>Ravensburg</t>
        </is>
      </c>
    </row>
    <row r="247" ht="14.25" customHeight="1" s="20">
      <c r="A247" s="36" t="inlineStr">
        <is>
          <t>RECARO Aircraft Seating GmbH &amp; Co. KG</t>
        </is>
      </c>
      <c r="B247" s="36" t="n">
        <v>2100</v>
      </c>
      <c r="C247" s="36" t="inlineStr">
        <is>
          <t>Flugzeugsitze</t>
        </is>
      </c>
      <c r="D247" s="36" t="inlineStr">
        <is>
          <t>Schwäbisch Hall</t>
        </is>
      </c>
    </row>
    <row r="248" ht="14.25" customHeight="1" s="20">
      <c r="A248" s="36" t="inlineStr">
        <is>
          <t>REISSER AG</t>
        </is>
      </c>
      <c r="B248" s="36" t="n">
        <v>1980</v>
      </c>
      <c r="C248" s="36" t="inlineStr">
        <is>
          <t>Sanitär- und Heizungsgroßhandel</t>
        </is>
      </c>
      <c r="D248" s="36" t="inlineStr">
        <is>
          <t>Böblingen</t>
        </is>
      </c>
    </row>
    <row r="249" ht="14.25" customHeight="1" s="20">
      <c r="A249" s="36" t="inlineStr">
        <is>
          <t>Rems-Murr-Kliniken gGmbH</t>
        </is>
      </c>
      <c r="B249" s="36" t="n">
        <v>3000</v>
      </c>
      <c r="C249" s="36" t="inlineStr">
        <is>
          <t>Gesundheitswesen</t>
        </is>
      </c>
      <c r="D249" s="36" t="inlineStr">
        <is>
          <t>Winnenden</t>
        </is>
      </c>
    </row>
    <row r="250" ht="14.25" customHeight="1" s="20">
      <c r="A250" s="36" t="inlineStr">
        <is>
          <t>Rheinmetall Automotive AG</t>
        </is>
      </c>
      <c r="B250" s="36" t="n">
        <v>11000</v>
      </c>
      <c r="C250" s="36" t="inlineStr">
        <is>
          <t>Automobilzulieferer</t>
        </is>
      </c>
      <c r="D250" s="36" t="inlineStr">
        <is>
          <t>Neckarsulm</t>
        </is>
      </c>
      <c r="E250" s="19" t="inlineStr">
        <is>
          <t>Eigenes Portal</t>
        </is>
      </c>
      <c r="F250" s="19" t="inlineStr">
        <is>
          <t>https://www.rheinmetall.com/de/karriere/uebersicht-karriere</t>
        </is>
      </c>
    </row>
    <row r="251" ht="14.25" customHeight="1" s="20">
      <c r="A251" s="36" t="inlineStr">
        <is>
          <t>Rhein-Neckar-Verkehr GmbH (rnv)</t>
        </is>
      </c>
      <c r="B251" s="36" t="n">
        <v>2664</v>
      </c>
      <c r="C251" s="36" t="inlineStr">
        <is>
          <t>Personennahverkehr</t>
        </is>
      </c>
      <c r="D251" s="36" t="inlineStr">
        <is>
          <t>Mannheim</t>
        </is>
      </c>
    </row>
    <row r="252" ht="14.25" customHeight="1" s="20">
      <c r="A252" s="36" t="inlineStr">
        <is>
          <t>RICHARD WOLF GMBH</t>
        </is>
      </c>
      <c r="B252" s="36" t="n">
        <v>1842</v>
      </c>
      <c r="C252" s="36" t="inlineStr">
        <is>
          <t>Medizintechnik</t>
        </is>
      </c>
      <c r="D252" s="36" t="inlineStr">
        <is>
          <t>Knittlingen</t>
        </is>
      </c>
    </row>
    <row r="253" ht="14.25" customHeight="1" s="20">
      <c r="A253" s="36" t="inlineStr">
        <is>
          <t>RKH Regionale Kliniken Holding und Services GmbH</t>
        </is>
      </c>
      <c r="B253" s="36" t="n">
        <v>8076</v>
      </c>
      <c r="C253" s="36" t="inlineStr">
        <is>
          <t>Gesundheitswesen</t>
        </is>
      </c>
      <c r="D253" s="36" t="inlineStr">
        <is>
          <t>Ludwigsburg</t>
        </is>
      </c>
      <c r="E253" s="19" t="inlineStr">
        <is>
          <t>Eigenes Portal</t>
        </is>
      </c>
      <c r="F253" s="19" t="inlineStr">
        <is>
          <t>https://www.rkh-karriere.de/</t>
        </is>
      </c>
    </row>
    <row r="254" ht="14.25" customHeight="1" s="20">
      <c r="A254" s="36" t="inlineStr">
        <is>
          <t>Robert Bosch GmbH</t>
        </is>
      </c>
      <c r="B254" s="36" t="n">
        <v>429000</v>
      </c>
      <c r="C254" s="36" t="inlineStr">
        <is>
          <t>Technologie-/Dienstleistungsunternehmen</t>
        </is>
      </c>
      <c r="D254" s="36" t="inlineStr">
        <is>
          <t>Gerlingen-Schillerhöhe</t>
        </is>
      </c>
      <c r="E254" s="19" t="inlineStr">
        <is>
          <t>SmartRecruiters</t>
        </is>
      </c>
      <c r="F254" s="19" t="inlineStr">
        <is>
          <t>https://jobs.bosch.com/</t>
        </is>
      </c>
      <c r="G254" s="19" t="inlineStr">
        <is>
          <t>https://api.smartrecruiters.com/v1/companies/BoschGroup/postings</t>
        </is>
      </c>
    </row>
    <row r="255" ht="14.25" customHeight="1" s="20">
      <c r="A255" s="36" t="inlineStr">
        <is>
          <t>Robert-Bosch-Krankenhaus GmbH</t>
        </is>
      </c>
      <c r="B255" s="36" t="n">
        <v>3000</v>
      </c>
      <c r="C255" s="36" t="inlineStr">
        <is>
          <t>Gesundheitswesen</t>
        </is>
      </c>
      <c r="D255" s="36" t="inlineStr">
        <is>
          <t>Stuttgart</t>
        </is>
      </c>
    </row>
    <row r="256" ht="14.25" customHeight="1" s="20">
      <c r="A256" s="36" t="inlineStr">
        <is>
          <t>Roche Deutschland Holding GmbH</t>
        </is>
      </c>
      <c r="B256" s="36" t="n">
        <v>18242</v>
      </c>
      <c r="C256" s="36" t="inlineStr">
        <is>
          <t>Pharmaindustrie</t>
        </is>
      </c>
      <c r="D256" s="36" t="inlineStr">
        <is>
          <t>Grenzach-Wyhlen</t>
        </is>
      </c>
      <c r="E256" s="19" t="inlineStr">
        <is>
          <t>Eigenes Portal</t>
        </is>
      </c>
      <c r="F256" s="19" t="inlineStr">
        <is>
          <t>https://careers.roche.com/de/de/home</t>
        </is>
      </c>
    </row>
    <row r="257" ht="14.25" customHeight="1" s="20">
      <c r="A257" s="36" t="inlineStr">
        <is>
          <t>Roche Diagnostics Deutschland GmbH</t>
        </is>
      </c>
      <c r="B257" s="36" t="n">
        <v>1003</v>
      </c>
      <c r="C257" s="36" t="inlineStr">
        <is>
          <t>Diagnosesysteme</t>
        </is>
      </c>
      <c r="D257" s="36" t="inlineStr">
        <is>
          <t>Mannheim</t>
        </is>
      </c>
    </row>
    <row r="258" ht="14.25" customHeight="1" s="20">
      <c r="A258" s="36" t="inlineStr">
        <is>
          <t>Roche Diagnostics GmbH</t>
        </is>
      </c>
      <c r="B258" s="36" t="n">
        <v>13886</v>
      </c>
      <c r="C258" s="36" t="inlineStr">
        <is>
          <t>Diagnosesysteme</t>
        </is>
      </c>
      <c r="D258" s="36" t="inlineStr">
        <is>
          <t>Mannheim</t>
        </is>
      </c>
      <c r="E258" s="19" t="inlineStr">
        <is>
          <t>Eigenes Portal</t>
        </is>
      </c>
      <c r="F258" s="19" t="inlineStr">
        <is>
          <t>https://careers.roche.com/de/de/home</t>
        </is>
      </c>
    </row>
    <row r="259" ht="14.25" customHeight="1" s="20">
      <c r="A259" s="36" t="inlineStr">
        <is>
          <t>Röchling SE &amp; Co. KG</t>
        </is>
      </c>
      <c r="B259" s="36" t="n">
        <v>11988</v>
      </c>
      <c r="C259" s="36" t="inlineStr">
        <is>
          <t>Kunststoffverarbeitung</t>
        </is>
      </c>
      <c r="D259" s="36" t="inlineStr">
        <is>
          <t>Mannheim</t>
        </is>
      </c>
      <c r="E259" s="19" t="inlineStr">
        <is>
          <t>Eigenes Portal</t>
        </is>
      </c>
      <c r="F259" s="19" t="inlineStr">
        <is>
          <t>https://jobs.roechling.com/de/karriere</t>
        </is>
      </c>
    </row>
    <row r="260" ht="14.25" customHeight="1" s="20">
      <c r="A260" s="36" t="inlineStr">
        <is>
          <t>Röhm GmbH</t>
        </is>
      </c>
      <c r="B260" s="36" t="n">
        <v>1000</v>
      </c>
      <c r="C260" s="36" t="inlineStr">
        <is>
          <t>Spanntechnik</t>
        </is>
      </c>
      <c r="D260" s="36" t="inlineStr">
        <is>
          <t>Sontheim a. d. Brenz</t>
        </is>
      </c>
    </row>
    <row r="261" ht="14.25" customHeight="1" s="20">
      <c r="A261" s="36" t="inlineStr">
        <is>
          <t>Rolls-Royce Power Systems</t>
        </is>
      </c>
      <c r="B261" s="36" t="n">
        <v>10000</v>
      </c>
      <c r="C261" s="36" t="inlineStr">
        <is>
          <t>Antriebssysteme</t>
        </is>
      </c>
      <c r="D261" s="36" t="inlineStr">
        <is>
          <t>Friedrichshafen</t>
        </is>
      </c>
      <c r="E261" s="19" t="inlineStr">
        <is>
          <t>Eigenes Portal</t>
        </is>
      </c>
      <c r="F261" s="19" t="inlineStr">
        <is>
          <t>https://careers.rolls-royce.com/de</t>
        </is>
      </c>
    </row>
    <row r="262" ht="14.25" customHeight="1" s="20">
      <c r="A262" s="36" t="inlineStr">
        <is>
          <t>Rommelag SE &amp; Co. KG</t>
        </is>
      </c>
      <c r="B262" s="36" t="n">
        <v>1895</v>
      </c>
      <c r="C262" s="36" t="inlineStr">
        <is>
          <t>Maschinenbau</t>
        </is>
      </c>
      <c r="D262" s="36" t="inlineStr">
        <is>
          <t>Sulzbach-Laufen</t>
        </is>
      </c>
    </row>
    <row r="263" ht="14.25" customHeight="1" s="20">
      <c r="A263" s="36" t="inlineStr">
        <is>
          <t>Röther Beteiligungs GmbH</t>
        </is>
      </c>
      <c r="B263" s="36" t="n">
        <v>2833</v>
      </c>
      <c r="C263" s="36" t="inlineStr">
        <is>
          <t>Modehandel</t>
        </is>
      </c>
      <c r="D263" s="36" t="inlineStr">
        <is>
          <t>Michelfeld</t>
        </is>
      </c>
    </row>
    <row r="264" ht="14.25" customHeight="1" s="20">
      <c r="A264" s="36" t="inlineStr">
        <is>
          <t>Roto Frank Holding AG</t>
        </is>
      </c>
      <c r="B264" s="36" t="n">
        <v>4996</v>
      </c>
      <c r="C264" s="36" t="inlineStr">
        <is>
          <t>Bauzulieferer</t>
        </is>
      </c>
      <c r="D264" s="36" t="inlineStr">
        <is>
          <t>Leinfelden-Echterdingen</t>
        </is>
      </c>
      <c r="E264" s="19" t="inlineStr">
        <is>
          <t>Eigenes Portal</t>
        </is>
      </c>
      <c r="F264" s="19" t="inlineStr">
        <is>
          <t>https://www.jobs.roto-frank.com/</t>
        </is>
      </c>
    </row>
    <row r="265" ht="14.25" customHeight="1" s="20">
      <c r="A265" s="36" t="inlineStr">
        <is>
          <t>RUD Ketten Rieger &amp; Dietz GmbH u. Co. KG</t>
        </is>
      </c>
      <c r="B265" s="36" t="n">
        <v>1700</v>
      </c>
      <c r="C265" s="36" t="inlineStr">
        <is>
          <t>Kettensysteme</t>
        </is>
      </c>
      <c r="D265" s="36" t="inlineStr">
        <is>
          <t>Aalen</t>
        </is>
      </c>
    </row>
    <row r="266" ht="14.25" customHeight="1" s="20">
      <c r="A266" s="36" t="inlineStr">
        <is>
          <t>Rud. Otto Meyer Technik GmbH &amp; Co. KG</t>
        </is>
      </c>
      <c r="B266" s="36" t="n">
        <v>2300</v>
      </c>
      <c r="C266" s="36" t="inlineStr">
        <is>
          <t>Technische Gebäudeausrüstung</t>
        </is>
      </c>
      <c r="D266" s="36" t="inlineStr">
        <is>
          <t>Stuttgart</t>
        </is>
      </c>
    </row>
    <row r="267" ht="14.25" customHeight="1" s="20">
      <c r="A267" s="36" t="inlineStr">
        <is>
          <t>Rutronik Elektronische Bauelemente GmbH</t>
        </is>
      </c>
      <c r="B267" s="36" t="n">
        <v>1900</v>
      </c>
      <c r="C267" s="36" t="inlineStr">
        <is>
          <t>Distribution</t>
        </is>
      </c>
      <c r="D267" s="36" t="inlineStr">
        <is>
          <t>Ispringen</t>
        </is>
      </c>
    </row>
    <row r="268" ht="14.25" customHeight="1" s="20">
      <c r="A268" s="36" t="inlineStr">
        <is>
          <t>SAP SE</t>
        </is>
      </c>
      <c r="B268" s="36" t="n">
        <v>105315</v>
      </c>
      <c r="C268" s="36" t="inlineStr">
        <is>
          <t>Informationstechnologie</t>
        </is>
      </c>
      <c r="D268" s="36" t="inlineStr">
        <is>
          <t>Walldorf</t>
        </is>
      </c>
      <c r="E268" s="19" t="inlineStr">
        <is>
          <t>SAP SuccessFactors</t>
        </is>
      </c>
      <c r="F268" s="19" t="inlineStr">
        <is>
          <t>https://jobs.sap.com/</t>
        </is>
      </c>
    </row>
    <row r="269" ht="14.25" customHeight="1" s="20">
      <c r="A269" s="36" t="inlineStr">
        <is>
          <t>Schaeffler Automotive Buehl GmbH &amp; Co. KG</t>
        </is>
      </c>
      <c r="B269" s="36" t="n">
        <v>84000</v>
      </c>
      <c r="C269" s="36" t="inlineStr">
        <is>
          <t>Automobilzulieferer</t>
        </is>
      </c>
      <c r="D269" s="36" t="inlineStr">
        <is>
          <t>Bühl</t>
        </is>
      </c>
      <c r="E269" s="19" t="inlineStr">
        <is>
          <t>Eigenes Portal</t>
        </is>
      </c>
      <c r="F269" s="19" t="inlineStr">
        <is>
          <t>https://jobs.schaeffler.com/</t>
        </is>
      </c>
    </row>
    <row r="270" ht="14.25" customHeight="1" s="20">
      <c r="A270" s="36" t="inlineStr">
        <is>
          <t>Scholz Recycling GmbH</t>
        </is>
      </c>
      <c r="B270" s="36" t="n">
        <v>1127</v>
      </c>
      <c r="C270" s="36" t="inlineStr">
        <is>
          <t>Schrott- und Metallrecycling</t>
        </is>
      </c>
      <c r="D270" s="36" t="inlineStr">
        <is>
          <t>Essingen</t>
        </is>
      </c>
    </row>
    <row r="271" ht="14.25" customHeight="1" s="20">
      <c r="A271" s="36" t="inlineStr">
        <is>
          <t>Schuler Group GmbH</t>
        </is>
      </c>
      <c r="B271" s="36" t="n">
        <v>4700</v>
      </c>
      <c r="C271" s="36" t="inlineStr">
        <is>
          <t>Maschinenbau</t>
        </is>
      </c>
      <c r="D271" s="36" t="inlineStr">
        <is>
          <t>Göppingen</t>
        </is>
      </c>
      <c r="E271" s="19" t="inlineStr">
        <is>
          <t>Eigenes Portal</t>
        </is>
      </c>
      <c r="F271" s="19" t="inlineStr">
        <is>
          <t>https://career.schulergroup.com/de/</t>
        </is>
      </c>
    </row>
    <row r="272" ht="14.25" customHeight="1" s="20">
      <c r="A272" s="36" t="inlineStr">
        <is>
          <t>SCHUNK SE &amp; Co. KG</t>
        </is>
      </c>
      <c r="B272" s="36" t="n">
        <v>3700</v>
      </c>
      <c r="C272" s="36" t="inlineStr">
        <is>
          <t>Spanntechnik</t>
        </is>
      </c>
      <c r="D272" s="36" t="inlineStr">
        <is>
          <t>Lauffen am Neckar</t>
        </is>
      </c>
    </row>
    <row r="273" ht="14.25" customHeight="1" s="20">
      <c r="A273" s="36" t="inlineStr">
        <is>
          <t>Schwäbisch Hall - Gruppe</t>
        </is>
      </c>
      <c r="B273" s="36" t="n">
        <v>3603</v>
      </c>
      <c r="C273" s="36" t="inlineStr">
        <is>
          <t>Finanzdienstleistungen</t>
        </is>
      </c>
      <c r="D273" s="36" t="inlineStr">
        <is>
          <t>Schwäbisch Hall</t>
        </is>
      </c>
    </row>
    <row r="274" ht="14.25" customHeight="1" s="20">
      <c r="A274" s="36" t="inlineStr">
        <is>
          <t>Schwarz Gruppe</t>
        </is>
      </c>
      <c r="B274" s="36" t="n">
        <v>575000</v>
      </c>
      <c r="C274" s="36" t="inlineStr">
        <is>
          <t>Lebensmitteleinzelhandel</t>
        </is>
      </c>
      <c r="D274" s="36" t="inlineStr">
        <is>
          <t>Neckarsulm</t>
        </is>
      </c>
      <c r="E274" s="19" t="inlineStr">
        <is>
          <t>Diverse (je Sparte)</t>
        </is>
      </c>
      <c r="F274" s="19" t="inlineStr">
        <is>
          <t>https://gruppe.schwarz/karriere</t>
        </is>
      </c>
    </row>
    <row r="275" ht="14.25" customHeight="1" s="20">
      <c r="A275" s="36" t="inlineStr">
        <is>
          <t>SchwörerHaus KG</t>
        </is>
      </c>
      <c r="B275" s="36" t="n">
        <v>1753</v>
      </c>
      <c r="C275" s="36" t="inlineStr">
        <is>
          <t>Bauwirtschaft</t>
        </is>
      </c>
      <c r="D275" s="36" t="inlineStr">
        <is>
          <t>Hohenstein</t>
        </is>
      </c>
    </row>
    <row r="276" ht="14.25" customHeight="1" s="20">
      <c r="A276" s="36" t="inlineStr">
        <is>
          <t>Seifert Logistics Group</t>
        </is>
      </c>
      <c r="B276" s="36" t="n">
        <v>4000</v>
      </c>
      <c r="C276" s="36" t="inlineStr">
        <is>
          <t>Transport und Spedition</t>
        </is>
      </c>
      <c r="D276" s="36" t="inlineStr">
        <is>
          <t>Ulm</t>
        </is>
      </c>
    </row>
    <row r="277" ht="14.25" customHeight="1" s="20">
      <c r="A277" s="36" t="inlineStr">
        <is>
          <t>SEW-EURODRIVE GmbH &amp; Co KG</t>
        </is>
      </c>
      <c r="B277" s="36" t="n">
        <v>22000</v>
      </c>
      <c r="C277" s="36" t="inlineStr">
        <is>
          <t>Antriebstechnik</t>
        </is>
      </c>
      <c r="D277" s="36" t="inlineStr">
        <is>
          <t>Bruchsal</t>
        </is>
      </c>
      <c r="E277" s="19" t="inlineStr">
        <is>
          <t>Oracle Cloud HCM</t>
        </is>
      </c>
      <c r="F277" s="19" t="inlineStr">
        <is>
          <t>https://www.sew-eurodrive.de/careers/careers.html</t>
        </is>
      </c>
    </row>
    <row r="278" ht="14.25" customHeight="1" s="20">
      <c r="A278" s="36" t="inlineStr">
        <is>
          <t>SHW AG</t>
        </is>
      </c>
      <c r="B278" s="36" t="n">
        <v>1800</v>
      </c>
      <c r="C278" s="36" t="inlineStr">
        <is>
          <t>Automobilzulieferer</t>
        </is>
      </c>
      <c r="D278" s="36" t="inlineStr">
        <is>
          <t>Aalen</t>
        </is>
      </c>
    </row>
    <row r="279" ht="14.25" customHeight="1" s="20">
      <c r="A279" s="36" t="inlineStr">
        <is>
          <t>SICK AG</t>
        </is>
      </c>
      <c r="B279" s="36" t="n">
        <v>12185</v>
      </c>
      <c r="C279" s="36" t="inlineStr">
        <is>
          <t>Sensorik</t>
        </is>
      </c>
      <c r="D279" s="36" t="inlineStr">
        <is>
          <t>Waldkirch</t>
        </is>
      </c>
      <c r="E279" s="19" t="inlineStr">
        <is>
          <t>Eigenes Portal</t>
        </is>
      </c>
      <c r="F279" s="19" t="inlineStr">
        <is>
          <t>https://jobs.sick.com/</t>
        </is>
      </c>
    </row>
    <row r="280" ht="14.25" customHeight="1" s="20">
      <c r="A280" s="36" t="inlineStr">
        <is>
          <t>Sika Deutschland GmbH</t>
        </is>
      </c>
      <c r="B280" s="36" t="n">
        <v>1274</v>
      </c>
      <c r="C280" s="36" t="inlineStr">
        <is>
          <t>Bauchemie</t>
        </is>
      </c>
      <c r="D280" s="36" t="inlineStr">
        <is>
          <t>Stuttgart</t>
        </is>
      </c>
    </row>
    <row r="281" ht="14.25" customHeight="1" s="20">
      <c r="A281" s="36" t="inlineStr">
        <is>
          <t>Simon Hegele GmbH</t>
        </is>
      </c>
      <c r="B281" s="36" t="n">
        <v>3000</v>
      </c>
      <c r="C281" s="36" t="inlineStr">
        <is>
          <t>Logistik und Services</t>
        </is>
      </c>
      <c r="D281" s="36" t="inlineStr">
        <is>
          <t>Karlsruhe</t>
        </is>
      </c>
    </row>
    <row r="282" ht="14.25" customHeight="1" s="20">
      <c r="A282" s="36" t="inlineStr">
        <is>
          <t>SLK-Kliniken Heilbronn GmbH</t>
        </is>
      </c>
      <c r="B282" s="36" t="n">
        <v>5750</v>
      </c>
      <c r="C282" s="36" t="inlineStr">
        <is>
          <t>Gesundheitswesen</t>
        </is>
      </c>
      <c r="D282" s="36" t="inlineStr">
        <is>
          <t>Heilbronn</t>
        </is>
      </c>
      <c r="E282" s="19" t="inlineStr">
        <is>
          <t>Eigenes Portal</t>
        </is>
      </c>
      <c r="F282" s="19" t="inlineStr">
        <is>
          <t>https://www.slk-kliniken.de/karriere/</t>
        </is>
      </c>
    </row>
    <row r="283" ht="14.25" customHeight="1" s="20">
      <c r="A283" s="36" t="inlineStr">
        <is>
          <t>SMP Deutschland GmbH</t>
        </is>
      </c>
      <c r="B283" s="36" t="n">
        <v>13500</v>
      </c>
      <c r="C283" s="36" t="inlineStr">
        <is>
          <t>Kunststoffindustrie</t>
        </is>
      </c>
      <c r="D283" s="36" t="inlineStr">
        <is>
          <t>Bötzingen</t>
        </is>
      </c>
    </row>
    <row r="284" ht="14.25" customHeight="1" s="20">
      <c r="A284" s="36" t="inlineStr">
        <is>
          <t>Sparda-Bank Baden-Württemberg eG</t>
        </is>
      </c>
      <c r="B284" s="36" t="n">
        <v>677</v>
      </c>
      <c r="C284" s="36" t="inlineStr">
        <is>
          <t>Kreditwirtschaft</t>
        </is>
      </c>
      <c r="D284" s="36" t="inlineStr">
        <is>
          <t>Stuttgart</t>
        </is>
      </c>
    </row>
    <row r="285" ht="14.25" customHeight="1" s="20">
      <c r="A285" s="36" t="inlineStr">
        <is>
          <t>Sparkasse Freiburg-Nördlicher Breisgau</t>
        </is>
      </c>
      <c r="B285" s="36" t="n">
        <v>964</v>
      </c>
      <c r="C285" s="36" t="inlineStr">
        <is>
          <t>Kreditwirtschaft</t>
        </is>
      </c>
      <c r="D285" s="36" t="inlineStr">
        <is>
          <t>Freiburg im Breisgau</t>
        </is>
      </c>
    </row>
    <row r="286" ht="14.25" customHeight="1" s="20">
      <c r="A286" s="36" t="inlineStr">
        <is>
          <t>Sparkasse Heidelberg</t>
        </is>
      </c>
      <c r="B286" s="36" t="n">
        <v>1029</v>
      </c>
      <c r="C286" s="36" t="inlineStr">
        <is>
          <t>Kreditwirtschaft</t>
        </is>
      </c>
      <c r="D286" s="36" t="inlineStr">
        <is>
          <t>Heidelberg</t>
        </is>
      </c>
    </row>
    <row r="287" ht="14.25" customHeight="1" s="20">
      <c r="A287" s="36" t="inlineStr">
        <is>
          <t>Sparkasse Karlsruhe</t>
        </is>
      </c>
      <c r="B287" s="36" t="n">
        <v>1278</v>
      </c>
      <c r="C287" s="36" t="inlineStr">
        <is>
          <t>Kreditwirtschaft</t>
        </is>
      </c>
      <c r="D287" s="36" t="inlineStr">
        <is>
          <t>Karlsruhe</t>
        </is>
      </c>
    </row>
    <row r="288" ht="14.25" customHeight="1" s="20">
      <c r="A288" s="36" t="inlineStr">
        <is>
          <t>Sparkasse Pforzheim Calw</t>
        </is>
      </c>
      <c r="B288" s="36" t="n">
        <v>1869</v>
      </c>
      <c r="C288" s="36" t="inlineStr">
        <is>
          <t>Kreditwirtschaft</t>
        </is>
      </c>
      <c r="D288" s="36" t="inlineStr">
        <is>
          <t>Pforzheim</t>
        </is>
      </c>
    </row>
    <row r="289" ht="14.25" customHeight="1" s="20">
      <c r="A289" s="36" t="inlineStr">
        <is>
          <t>Sparkasse Rhein Neckar Nord</t>
        </is>
      </c>
      <c r="B289" s="36" t="n">
        <v>707</v>
      </c>
      <c r="C289" s="36" t="inlineStr">
        <is>
          <t>Kreditwirtschaft</t>
        </is>
      </c>
      <c r="D289" s="36" t="inlineStr">
        <is>
          <t>Mannheim</t>
        </is>
      </c>
    </row>
    <row r="290" ht="14.25" customHeight="1" s="20">
      <c r="A290" s="36" t="inlineStr">
        <is>
          <t>Sparkasse Ulm</t>
        </is>
      </c>
      <c r="B290" s="36" t="n">
        <v>920</v>
      </c>
      <c r="C290" s="36" t="inlineStr">
        <is>
          <t>Kreditwirtschaft</t>
        </is>
      </c>
      <c r="D290" s="36" t="inlineStr">
        <is>
          <t>Ulm</t>
        </is>
      </c>
    </row>
    <row r="291" ht="14.25" customHeight="1" s="20">
      <c r="A291" s="36" t="inlineStr">
        <is>
          <t>Sparkasse Zollernalb</t>
        </is>
      </c>
      <c r="B291" s="36" t="n">
        <v>570</v>
      </c>
      <c r="C291" s="36" t="inlineStr">
        <is>
          <t>Kreditwirtschaft</t>
        </is>
      </c>
      <c r="D291" s="36" t="inlineStr">
        <is>
          <t>Balingen</t>
        </is>
      </c>
    </row>
    <row r="292" ht="14.25" customHeight="1" s="20">
      <c r="A292" s="36" t="inlineStr">
        <is>
          <t>Städtisches Klinikum Karlsruhe gGmbH</t>
        </is>
      </c>
      <c r="B292" s="36" t="n">
        <v>4932</v>
      </c>
      <c r="C292" s="36" t="inlineStr">
        <is>
          <t>Gesundheitswesen</t>
        </is>
      </c>
      <c r="D292" s="36" t="inlineStr">
        <is>
          <t>Karlsruhe</t>
        </is>
      </c>
      <c r="E292" s="19" t="inlineStr">
        <is>
          <t>Eigenes Portal</t>
        </is>
      </c>
      <c r="F292" s="19" t="inlineStr">
        <is>
          <t>https://www.klinikum-karlsruhe.com/beruf-karriere/stellenmarkt.html</t>
        </is>
      </c>
    </row>
    <row r="293" ht="14.25" customHeight="1" s="20">
      <c r="A293" s="36" t="inlineStr">
        <is>
          <t>Stadtwerke Heidelberg GmbH</t>
        </is>
      </c>
      <c r="B293" s="36" t="n">
        <v>1031</v>
      </c>
      <c r="C293" s="36" t="inlineStr">
        <is>
          <t>Energieversorgung</t>
        </is>
      </c>
      <c r="D293" s="36" t="inlineStr">
        <is>
          <t>Heidelberg</t>
        </is>
      </c>
    </row>
    <row r="294" ht="14.25" customHeight="1" s="20">
      <c r="A294" s="36" t="inlineStr">
        <is>
          <t>Stadtwerke Karlsruhe GmbH</t>
        </is>
      </c>
      <c r="B294" s="36" t="n">
        <v>1189</v>
      </c>
      <c r="C294" s="36" t="inlineStr">
        <is>
          <t>Energie- und Trinkwasserversorgung</t>
        </is>
      </c>
      <c r="D294" s="36" t="inlineStr">
        <is>
          <t>Karlsruhe</t>
        </is>
      </c>
    </row>
    <row r="295" ht="14.25" customHeight="1" s="20">
      <c r="A295" s="36" t="inlineStr">
        <is>
          <t>Steinbeis GmbH &amp; Co. KG</t>
        </is>
      </c>
      <c r="B295" s="36" t="n">
        <v>1903</v>
      </c>
      <c r="C295" s="36" t="inlineStr">
        <is>
          <t>Forschung und Technologietransfer</t>
        </is>
      </c>
      <c r="D295" s="36" t="inlineStr">
        <is>
          <t>Stuttgart</t>
        </is>
      </c>
    </row>
    <row r="296" ht="14.25" customHeight="1" s="20">
      <c r="A296" s="36" t="inlineStr">
        <is>
          <t>Sto SE &amp; Co. KGaA</t>
        </is>
      </c>
      <c r="B296" s="36" t="n">
        <v>5783</v>
      </c>
      <c r="C296" s="36" t="inlineStr">
        <is>
          <t>Baustoffzulieferer</t>
        </is>
      </c>
      <c r="D296" s="36" t="inlineStr">
        <is>
          <t>Stühlingen</t>
        </is>
      </c>
      <c r="E296" s="19" t="inlineStr">
        <is>
          <t>Eigenes Portal</t>
        </is>
      </c>
      <c r="F296" s="19" t="inlineStr">
        <is>
          <t>https://www.sto.de/s/karriere</t>
        </is>
      </c>
    </row>
    <row r="297" ht="14.25" customHeight="1" s="20">
      <c r="A297" s="36" t="inlineStr">
        <is>
          <t>Stuttgarter Gebäudereinigung Venter GmbH &amp; Co. KG</t>
        </is>
      </c>
      <c r="B297" s="36" t="n">
        <v>1321</v>
      </c>
      <c r="C297" s="36" t="inlineStr">
        <is>
          <t>Gebäudereinigung</t>
        </is>
      </c>
      <c r="D297" s="36" t="inlineStr">
        <is>
          <t>Fellbach</t>
        </is>
      </c>
    </row>
    <row r="298" ht="14.25" customHeight="1" s="20">
      <c r="A298" s="36" t="inlineStr">
        <is>
          <t>Stuttgarter Straßenbahnen AG</t>
        </is>
      </c>
      <c r="B298" s="36" t="n">
        <v>3400</v>
      </c>
      <c r="C298" s="36" t="inlineStr">
        <is>
          <t>Verkehrswirtschaft</t>
        </is>
      </c>
      <c r="D298" s="36" t="inlineStr">
        <is>
          <t>Stuttgart</t>
        </is>
      </c>
    </row>
    <row r="299" ht="14.25" customHeight="1" s="20">
      <c r="A299" s="36" t="inlineStr">
        <is>
          <t>Süddeutsche Krankenversicherung a. G.</t>
        </is>
      </c>
      <c r="B299" s="36" t="n">
        <v>740</v>
      </c>
      <c r="C299" s="36" t="inlineStr">
        <is>
          <t>Versicherung</t>
        </is>
      </c>
      <c r="D299" s="36" t="inlineStr">
        <is>
          <t>Fellbach</t>
        </is>
      </c>
    </row>
    <row r="300" ht="14.25" customHeight="1" s="20">
      <c r="A300" s="36" t="inlineStr">
        <is>
          <t>SÜDPACK Verpackungen SE &amp; Co. KG</t>
        </is>
      </c>
      <c r="B300" s="36" t="n">
        <v>1794</v>
      </c>
      <c r="C300" s="36" t="inlineStr">
        <is>
          <t>Verpackungsmittelhersteller</t>
        </is>
      </c>
      <c r="D300" s="36" t="inlineStr">
        <is>
          <t>Ochsenhausen</t>
        </is>
      </c>
    </row>
    <row r="301" ht="14.25" customHeight="1" s="20">
      <c r="A301" s="36" t="inlineStr">
        <is>
          <t>Südwestdeutsche Medien Holding GmbH</t>
        </is>
      </c>
      <c r="B301" s="36" t="n">
        <v>4600</v>
      </c>
      <c r="C301" s="36" t="inlineStr">
        <is>
          <t>Medienwirtschaft</t>
        </is>
      </c>
      <c r="D301" s="36" t="inlineStr">
        <is>
          <t>Stuttgart</t>
        </is>
      </c>
    </row>
    <row r="302" ht="14.25" customHeight="1" s="20">
      <c r="A302" s="36" t="inlineStr">
        <is>
          <t>Südzucker AG</t>
        </is>
      </c>
      <c r="B302" s="36" t="n">
        <v>19200</v>
      </c>
      <c r="C302" s="36" t="inlineStr">
        <is>
          <t>Nahrungsmittelherstellung</t>
        </is>
      </c>
      <c r="D302" s="36" t="inlineStr">
        <is>
          <t>Mannheim</t>
        </is>
      </c>
      <c r="E302" s="19" t="inlineStr">
        <is>
          <t>Eigenes Portal</t>
        </is>
      </c>
      <c r="F302" s="19" t="inlineStr">
        <is>
          <t>https://www.suedzuckergroup.com/de/karriere</t>
        </is>
      </c>
    </row>
    <row r="303" ht="14.25" customHeight="1" s="20">
      <c r="A303" s="36" t="inlineStr">
        <is>
          <t>SV SparkassenVersicherung</t>
        </is>
      </c>
      <c r="B303" s="36" t="n">
        <v>5097</v>
      </c>
      <c r="C303" s="36" t="inlineStr">
        <is>
          <t>Versicherung</t>
        </is>
      </c>
      <c r="D303" s="36" t="inlineStr">
        <is>
          <t>Stuttgart</t>
        </is>
      </c>
      <c r="E303" s="19" t="inlineStr">
        <is>
          <t>Eigenes Portal</t>
        </is>
      </c>
      <c r="F303" s="19" t="inlineStr">
        <is>
          <t>https://www.sparkassenversicherung.de/karriere.html</t>
        </is>
      </c>
    </row>
    <row r="304" ht="14.25" customHeight="1" s="20">
      <c r="A304" s="36" t="inlineStr">
        <is>
          <t>SWEG Südwestdeutsche Landesverkehrs-GmbH</t>
        </is>
      </c>
      <c r="B304" s="36" t="n">
        <v>1800</v>
      </c>
      <c r="C304" s="36" t="inlineStr">
        <is>
          <t>Schienen-/Busverkehr</t>
        </is>
      </c>
      <c r="D304" s="36" t="inlineStr">
        <is>
          <t>Lahr/Schwarzwald</t>
        </is>
      </c>
    </row>
    <row r="305" ht="14.25" customHeight="1" s="20">
      <c r="A305" s="36" t="inlineStr">
        <is>
          <t>SWU Stadtwerke Ulm/Neu-Ulm GmbH</t>
        </is>
      </c>
      <c r="B305" s="36" t="n">
        <v>1180</v>
      </c>
      <c r="C305" s="36" t="inlineStr">
        <is>
          <t>Energie-/Wasserversorgung, Nahverkehr</t>
        </is>
      </c>
      <c r="D305" s="36" t="inlineStr">
        <is>
          <t>Ulm</t>
        </is>
      </c>
    </row>
    <row r="306" ht="14.25" customHeight="1" s="20">
      <c r="A306" s="36" t="inlineStr">
        <is>
          <t>SYNERGIE Personal Deutschland GmbH</t>
        </is>
      </c>
      <c r="B306" s="36" t="n">
        <v>2000</v>
      </c>
      <c r="C306" s="36" t="inlineStr">
        <is>
          <t>Personaldienstleistungen</t>
        </is>
      </c>
      <c r="D306" s="36" t="inlineStr">
        <is>
          <t>Karlsruhe</t>
        </is>
      </c>
    </row>
    <row r="307" ht="14.25" customHeight="1" s="20">
      <c r="A307" s="36" t="inlineStr">
        <is>
          <t>Syntegon Technology GmbH</t>
        </is>
      </c>
      <c r="B307" s="36" t="n">
        <v>6300</v>
      </c>
      <c r="C307" s="36" t="inlineStr">
        <is>
          <t>Prozess- und Verpackungstechnik</t>
        </is>
      </c>
      <c r="D307" s="36" t="inlineStr">
        <is>
          <t>Waiblingen</t>
        </is>
      </c>
      <c r="E307" s="19" t="inlineStr">
        <is>
          <t>Eigenes Portal</t>
        </is>
      </c>
      <c r="F307" s="19" t="inlineStr">
        <is>
          <t>https://jobs.syntegon.com/</t>
        </is>
      </c>
    </row>
    <row r="308" ht="14.25" customHeight="1" s="20">
      <c r="A308" s="36" t="inlineStr">
        <is>
          <t>Takeda GmbH</t>
        </is>
      </c>
      <c r="B308" s="36" t="n">
        <v>1200</v>
      </c>
      <c r="C308" s="36" t="inlineStr">
        <is>
          <t>Pharmaindustrie</t>
        </is>
      </c>
      <c r="D308" s="36" t="inlineStr">
        <is>
          <t>Singen</t>
        </is>
      </c>
    </row>
    <row r="309" ht="14.25" customHeight="1" s="20">
      <c r="A309" s="36" t="inlineStr">
        <is>
          <t>TAKKT AG</t>
        </is>
      </c>
      <c r="B309" s="36" t="n">
        <v>2385</v>
      </c>
      <c r="C309" s="36" t="inlineStr">
        <is>
          <t>B2B-Omnichannel-Handel</t>
        </is>
      </c>
      <c r="D309" s="36" t="inlineStr">
        <is>
          <t>Stuttgart</t>
        </is>
      </c>
    </row>
    <row r="310" ht="14.25" customHeight="1" s="20">
      <c r="A310" s="36" t="inlineStr">
        <is>
          <t>TDK Micronas GmbH</t>
        </is>
      </c>
      <c r="B310" s="36" t="n">
        <v>1000</v>
      </c>
      <c r="C310" s="36" t="inlineStr">
        <is>
          <t>Halbleiter, Automobilelektronik</t>
        </is>
      </c>
      <c r="D310" s="36" t="inlineStr">
        <is>
          <t>Freiburg im Breisgau</t>
        </is>
      </c>
    </row>
    <row r="311" ht="14.25" customHeight="1" s="20">
      <c r="A311" s="36" t="inlineStr">
        <is>
          <t>TeamViewer SE</t>
        </is>
      </c>
      <c r="B311" s="36" t="n">
        <v>1500</v>
      </c>
      <c r="C311" s="36" t="inlineStr">
        <is>
          <t>Informationstechnologie</t>
        </is>
      </c>
      <c r="D311" s="36" t="inlineStr">
        <is>
          <t>Göppingen</t>
        </is>
      </c>
    </row>
    <row r="312" ht="14.25" customHeight="1" s="20">
      <c r="A312" s="36" t="inlineStr">
        <is>
          <t>TESAT</t>
        </is>
      </c>
      <c r="B312" s="36" t="n">
        <v>1200</v>
      </c>
      <c r="C312" s="36" t="inlineStr">
        <is>
          <t>Telekommunikationstechnik (Raumfahrt)</t>
        </is>
      </c>
      <c r="D312" s="36" t="inlineStr">
        <is>
          <t>Backnang</t>
        </is>
      </c>
    </row>
    <row r="313" ht="14.25" customHeight="1" s="20">
      <c r="A313" s="36" t="inlineStr">
        <is>
          <t>Testo SE &amp; Co. KGaA</t>
        </is>
      </c>
      <c r="B313" s="36" t="n">
        <v>4000</v>
      </c>
      <c r="C313" s="36" t="inlineStr">
        <is>
          <t>Messtechnik</t>
        </is>
      </c>
      <c r="D313" s="36" t="inlineStr">
        <is>
          <t>Titisee-Neustadt</t>
        </is>
      </c>
    </row>
    <row r="314" ht="14.25" customHeight="1" s="20">
      <c r="A314" s="36" t="inlineStr">
        <is>
          <t>Teva GmbH</t>
        </is>
      </c>
      <c r="B314" s="36" t="n">
        <v>2900</v>
      </c>
      <c r="C314" s="36" t="inlineStr">
        <is>
          <t>Pharmaindustrie</t>
        </is>
      </c>
      <c r="D314" s="36" t="inlineStr">
        <is>
          <t>Ulm</t>
        </is>
      </c>
    </row>
    <row r="315" ht="14.25" customHeight="1" s="20">
      <c r="A315" s="36" t="inlineStr">
        <is>
          <t>TGS Teegen Gebäudedienstleistungen</t>
        </is>
      </c>
      <c r="B315" s="36" t="n">
        <v>1831</v>
      </c>
      <c r="C315" s="36" t="inlineStr">
        <is>
          <t>Gebäudereinigung</t>
        </is>
      </c>
      <c r="D315" s="36" t="inlineStr">
        <is>
          <t>Fellbach</t>
        </is>
      </c>
    </row>
    <row r="316" ht="14.25" customHeight="1" s="20">
      <c r="A316" s="36" t="inlineStr">
        <is>
          <t>Thales Deutschland GmbH</t>
        </is>
      </c>
      <c r="B316" s="36" t="n">
        <v>81000</v>
      </c>
      <c r="C316" s="36" t="inlineStr">
        <is>
          <t>Elektronikkonzern</t>
        </is>
      </c>
      <c r="D316" s="36" t="inlineStr">
        <is>
          <t>Ditzingen</t>
        </is>
      </c>
      <c r="E316" s="19" t="inlineStr">
        <is>
          <t>Eigenes Portal</t>
        </is>
      </c>
      <c r="F316" s="19" t="inlineStr">
        <is>
          <t>https://careers.thalesgroup.com/de/de/search-results</t>
        </is>
      </c>
    </row>
    <row r="317" ht="14.25" customHeight="1" s="20">
      <c r="A317" s="36" t="inlineStr">
        <is>
          <t>Theo Förch GmbH &amp; Co. KG</t>
        </is>
      </c>
      <c r="B317" s="36" t="n">
        <v>3668</v>
      </c>
      <c r="C317" s="36" t="inlineStr">
        <is>
          <t>Werkstatt-/Montageartikel</t>
        </is>
      </c>
      <c r="D317" s="36" t="inlineStr">
        <is>
          <t>Neuenstadt</t>
        </is>
      </c>
    </row>
    <row r="318" ht="14.25" customHeight="1" s="20">
      <c r="A318" s="36" t="inlineStr">
        <is>
          <t>Trelleborg Sealing Solutions Germany GmbH</t>
        </is>
      </c>
      <c r="B318" s="36" t="n">
        <v>9500</v>
      </c>
      <c r="C318" s="36" t="inlineStr">
        <is>
          <t>Dichtungslösungen</t>
        </is>
      </c>
      <c r="D318" s="36" t="inlineStr">
        <is>
          <t>Stuttgart</t>
        </is>
      </c>
      <c r="E318" s="19" t="inlineStr">
        <is>
          <t>Eigenes Portal</t>
        </is>
      </c>
      <c r="F318" s="19" t="inlineStr">
        <is>
          <t>https://www.trelleborg.com/de-de/seals/about-us/karriere</t>
        </is>
      </c>
    </row>
    <row r="319" ht="14.25" customHeight="1" s="20">
      <c r="A319" s="36" t="inlineStr">
        <is>
          <t>Trigema W. Grupp KG</t>
        </is>
      </c>
      <c r="B319" s="36" t="n">
        <v>1141</v>
      </c>
      <c r="C319" s="36" t="inlineStr">
        <is>
          <t>Textil</t>
        </is>
      </c>
      <c r="D319" s="36" t="inlineStr">
        <is>
          <t>Burladingen</t>
        </is>
      </c>
    </row>
    <row r="320" ht="14.25" customHeight="1" s="20">
      <c r="A320" s="36" t="inlineStr">
        <is>
          <t>TTS Tooltechnic Systems AG &amp; Co. KG (Festool)</t>
        </is>
      </c>
      <c r="B320" s="36" t="n">
        <v>3418</v>
      </c>
      <c r="C320" s="36" t="inlineStr">
        <is>
          <t>Elektrowerkzeuge</t>
        </is>
      </c>
      <c r="D320" s="36" t="inlineStr">
        <is>
          <t>Wendlingen am Neckar</t>
        </is>
      </c>
    </row>
    <row r="321" ht="14.25" customHeight="1" s="20">
      <c r="A321" s="36" t="inlineStr">
        <is>
          <t>Uhlmann Pac-Systeme GmbH &amp; Co. KG</t>
        </is>
      </c>
      <c r="B321" s="36" t="n">
        <v>2300</v>
      </c>
      <c r="C321" s="36" t="inlineStr">
        <is>
          <t>Verpackungsanlagen Pharma</t>
        </is>
      </c>
      <c r="D321" s="36" t="inlineStr">
        <is>
          <t>Laupheim</t>
        </is>
      </c>
    </row>
    <row r="322" ht="14.25" customHeight="1" s="20">
      <c r="A322" s="36" t="inlineStr">
        <is>
          <t>Universitätsklinikum Mannheim GmbH</t>
        </is>
      </c>
      <c r="B322" s="36" t="n">
        <v>4644</v>
      </c>
      <c r="C322" s="36" t="inlineStr">
        <is>
          <t>Gesundheitswesen</t>
        </is>
      </c>
      <c r="D322" s="36" t="inlineStr">
        <is>
          <t>Mannheim</t>
        </is>
      </c>
      <c r="E322" s="19" t="inlineStr">
        <is>
          <t>Eigenes Portal</t>
        </is>
      </c>
      <c r="F322" s="19" t="inlineStr">
        <is>
          <t>https://www.umm.uni-heidelberg.de/karriere/</t>
        </is>
      </c>
    </row>
    <row r="323" ht="14.25" customHeight="1" s="20">
      <c r="A323" s="36" t="inlineStr">
        <is>
          <t>Universitätsklinikum Tübingen A.ö.R.</t>
        </is>
      </c>
      <c r="B323" s="36" t="n">
        <v>11000</v>
      </c>
      <c r="C323" s="36" t="inlineStr">
        <is>
          <t>Gesundheitswesen</t>
        </is>
      </c>
      <c r="D323" s="36" t="inlineStr">
        <is>
          <t>Tübingen</t>
        </is>
      </c>
      <c r="E323" s="19" t="inlineStr">
        <is>
          <t>Eigenes Portal</t>
        </is>
      </c>
      <c r="F323" s="19" t="inlineStr">
        <is>
          <t>https://www.medizin.uni-tuebingen.de/de/karriere</t>
        </is>
      </c>
    </row>
    <row r="324" ht="14.25" customHeight="1" s="20">
      <c r="A324" s="36" t="inlineStr">
        <is>
          <t>Universitätsklinikum Ulm</t>
        </is>
      </c>
      <c r="B324" s="36" t="n">
        <v>7000</v>
      </c>
      <c r="C324" s="36" t="inlineStr">
        <is>
          <t>Gesundheitswesen</t>
        </is>
      </c>
      <c r="D324" s="36" t="inlineStr">
        <is>
          <t>Ulm</t>
        </is>
      </c>
      <c r="E324" s="19" t="inlineStr">
        <is>
          <t>Eigenes Portal</t>
        </is>
      </c>
      <c r="F324" s="19" t="inlineStr">
        <is>
          <t>https://www.uni-ulm.de/einrichtungen/zuv/dezernat-3/stellenportal/stellenangebote/</t>
        </is>
      </c>
    </row>
    <row r="325" ht="14.25" customHeight="1" s="20">
      <c r="A325" s="36" t="inlineStr">
        <is>
          <t>Unternehmensgruppe Dr. Willmar Schwabe</t>
        </is>
      </c>
      <c r="B325" s="36" t="n">
        <v>4000</v>
      </c>
      <c r="C325" s="36" t="inlineStr">
        <is>
          <t>Pharma</t>
        </is>
      </c>
      <c r="D325" s="36" t="inlineStr">
        <is>
          <t>Karlsruhe</t>
        </is>
      </c>
    </row>
    <row r="326" ht="14.25" customHeight="1" s="20">
      <c r="A326" s="36" t="inlineStr">
        <is>
          <t>Unternehmensgruppe fischer</t>
        </is>
      </c>
      <c r="B326" s="36" t="n">
        <v>4700</v>
      </c>
      <c r="C326" s="36" t="inlineStr">
        <is>
          <t>Kunststoffindustrie</t>
        </is>
      </c>
      <c r="D326" s="36" t="inlineStr">
        <is>
          <t>Waldachtal</t>
        </is>
      </c>
      <c r="E326" s="19" t="inlineStr">
        <is>
          <t>Eigenes Portal</t>
        </is>
      </c>
      <c r="F326" s="19" t="inlineStr">
        <is>
          <t>https://www.fischer-group.com/karriere</t>
        </is>
      </c>
    </row>
    <row r="327" ht="14.25" customHeight="1" s="20">
      <c r="A327" s="36" t="inlineStr">
        <is>
          <t>Uzin Utz Aktiengesellschaft</t>
        </is>
      </c>
      <c r="B327" s="36" t="n">
        <v>1500</v>
      </c>
      <c r="C327" s="36" t="inlineStr">
        <is>
          <t>Bauindustrie</t>
        </is>
      </c>
      <c r="D327" s="36" t="inlineStr">
        <is>
          <t>Ulm</t>
        </is>
      </c>
    </row>
    <row r="328" ht="14.25" customHeight="1" s="20">
      <c r="A328" s="36" t="inlineStr">
        <is>
          <t>VARTA AG</t>
        </is>
      </c>
      <c r="B328" s="36" t="n">
        <v>4200</v>
      </c>
      <c r="C328" s="36" t="inlineStr">
        <is>
          <t>Batteriehersteller</t>
        </is>
      </c>
      <c r="D328" s="36" t="inlineStr">
        <is>
          <t>Ellwangen</t>
        </is>
      </c>
    </row>
    <row r="329" ht="14.25" customHeight="1" s="20">
      <c r="A329" s="36" t="inlineStr">
        <is>
          <t>VBK - Verkehrsbetriebe Karlsruhe GmbH</t>
        </is>
      </c>
      <c r="B329" s="36" t="n">
        <v>1437</v>
      </c>
      <c r="C329" s="36" t="inlineStr">
        <is>
          <t>Verkehrswirtschaft</t>
        </is>
      </c>
      <c r="D329" s="36" t="inlineStr">
        <is>
          <t>Karlsruhe</t>
        </is>
      </c>
    </row>
    <row r="330" ht="14.25" customHeight="1" s="20">
      <c r="A330" s="36" t="inlineStr">
        <is>
          <t>Verallia Deutschland AG</t>
        </is>
      </c>
      <c r="B330" s="36" t="n">
        <v>1489</v>
      </c>
      <c r="C330" s="36" t="inlineStr">
        <is>
          <t>Glasverpackungen</t>
        </is>
      </c>
      <c r="D330" s="36" t="inlineStr">
        <is>
          <t>Bad Wurzach</t>
        </is>
      </c>
    </row>
    <row r="331" ht="14.25" customHeight="1" s="20">
      <c r="A331" s="36" t="inlineStr">
        <is>
          <t>Vereinigte Volksbanken eG</t>
        </is>
      </c>
      <c r="B331" s="36" t="n">
        <v>667</v>
      </c>
      <c r="C331" s="36" t="inlineStr">
        <is>
          <t>Kreditwirtschaft</t>
        </is>
      </c>
      <c r="D331" s="36" t="inlineStr">
        <is>
          <t>Sindelfingen</t>
        </is>
      </c>
    </row>
    <row r="332" ht="14.25" customHeight="1" s="20">
      <c r="A332" s="36" t="inlineStr">
        <is>
          <t>Verlagsgruppe Georg von Holtzbrinck GmbH</t>
        </is>
      </c>
      <c r="B332" s="36" t="n">
        <v>5658</v>
      </c>
      <c r="C332" s="36" t="inlineStr">
        <is>
          <t>Medienwirtschaft</t>
        </is>
      </c>
      <c r="D332" s="36" t="inlineStr">
        <is>
          <t>Stuttgart</t>
        </is>
      </c>
    </row>
    <row r="333" ht="14.25" customHeight="1" s="20">
      <c r="A333" s="36" t="inlineStr">
        <is>
          <t>Vetter Pharma-Fertigung GmbH &amp; Co. KG</t>
        </is>
      </c>
      <c r="B333" s="36" t="n">
        <v>6600</v>
      </c>
      <c r="C333" s="36" t="inlineStr">
        <is>
          <t>Pharmadienstleister</t>
        </is>
      </c>
      <c r="D333" s="36" t="inlineStr">
        <is>
          <t>Ravensburg</t>
        </is>
      </c>
      <c r="E333" s="19" t="inlineStr">
        <is>
          <t>Eigenes Portal</t>
        </is>
      </c>
      <c r="F333" s="19" t="inlineStr">
        <is>
          <t>https://www.vetter-pharma.com/de/karriere-pharma/</t>
        </is>
      </c>
    </row>
    <row r="334" ht="14.25" customHeight="1" s="20">
      <c r="A334" s="36" t="inlineStr">
        <is>
          <t>ViDia Christliche Kliniken</t>
        </is>
      </c>
      <c r="B334" s="36" t="n">
        <v>3000</v>
      </c>
      <c r="C334" s="36" t="inlineStr">
        <is>
          <t>Gesundheitswesen</t>
        </is>
      </c>
      <c r="D334" s="36" t="inlineStr">
        <is>
          <t>Karlsruhe</t>
        </is>
      </c>
    </row>
    <row r="335" ht="14.25" customHeight="1" s="20">
      <c r="A335" s="36" t="inlineStr">
        <is>
          <t>Vinzenz von Paul Hospital gGmbH</t>
        </is>
      </c>
      <c r="B335" s="36" t="n">
        <v>1500</v>
      </c>
      <c r="C335" s="36" t="inlineStr">
        <is>
          <t>Gesundheitswesen</t>
        </is>
      </c>
      <c r="D335" s="36" t="inlineStr">
        <is>
          <t>Rottweil</t>
        </is>
      </c>
    </row>
    <row r="336" ht="14.25" customHeight="1" s="20">
      <c r="A336" s="36" t="inlineStr">
        <is>
          <t>Vinzenz von Paul Kliniken gGmbH</t>
        </is>
      </c>
      <c r="B336" s="36" t="n">
        <v>2553</v>
      </c>
      <c r="C336" s="36" t="inlineStr">
        <is>
          <t>Gesundheitswesen</t>
        </is>
      </c>
      <c r="D336" s="36" t="inlineStr">
        <is>
          <t>Stuttgart</t>
        </is>
      </c>
    </row>
    <row r="337" ht="14.25" customHeight="1" s="20">
      <c r="A337" s="36" t="inlineStr">
        <is>
          <t>Voith GmbH &amp; Co. KGaA</t>
        </is>
      </c>
      <c r="B337" s="36" t="n">
        <v>22479</v>
      </c>
      <c r="C337" s="36" t="inlineStr">
        <is>
          <t>Maschinen- und Anlagenbau</t>
        </is>
      </c>
      <c r="D337" s="36" t="inlineStr">
        <is>
          <t>Heidenheim</t>
        </is>
      </c>
      <c r="E337" s="19" t="inlineStr">
        <is>
          <t>Eigenes Portal</t>
        </is>
      </c>
      <c r="F337" s="19" t="inlineStr">
        <is>
          <t>https://jobs.voith.com/</t>
        </is>
      </c>
    </row>
    <row r="338" ht="14.25" customHeight="1" s="20">
      <c r="A338" s="36" t="inlineStr">
        <is>
          <t>Volksbank pur eG Karlsruhe</t>
        </is>
      </c>
      <c r="B338" s="36" t="n">
        <v>1372</v>
      </c>
      <c r="C338" s="36" t="inlineStr">
        <is>
          <t>Kreditwirtschaft</t>
        </is>
      </c>
      <c r="D338" s="36" t="inlineStr">
        <is>
          <t>Karlsruhe</t>
        </is>
      </c>
    </row>
    <row r="339" ht="14.25" customHeight="1" s="20">
      <c r="A339" s="36" t="inlineStr">
        <is>
          <t>Volksbank Stuttgart</t>
        </is>
      </c>
      <c r="B339" s="36" t="n">
        <v>950</v>
      </c>
      <c r="C339" s="36" t="inlineStr">
        <is>
          <t>Kreditwirtschaft</t>
        </is>
      </c>
      <c r="D339" s="36" t="inlineStr">
        <is>
          <t>Stuttgart</t>
        </is>
      </c>
    </row>
    <row r="340" ht="14.25" customHeight="1" s="20">
      <c r="A340" s="36" t="inlineStr">
        <is>
          <t>VPV Versicherungen</t>
        </is>
      </c>
      <c r="B340" s="36" t="n">
        <v>606</v>
      </c>
      <c r="C340" s="36" t="inlineStr">
        <is>
          <t>Versicherung</t>
        </is>
      </c>
      <c r="D340" s="36" t="inlineStr">
        <is>
          <t>Stuttgart</t>
        </is>
      </c>
    </row>
    <row r="341" ht="14.25" customHeight="1" s="20">
      <c r="A341" s="36" t="inlineStr">
        <is>
          <t>VS Vereinigte Spezialmöbelfabriken GmbH &amp; Co. KG</t>
        </is>
      </c>
      <c r="B341" s="36" t="n">
        <v>1700</v>
      </c>
      <c r="C341" s="36" t="inlineStr">
        <is>
          <t>Möbel</t>
        </is>
      </c>
      <c r="D341" s="36" t="inlineStr">
        <is>
          <t>Tauberbischofsheim</t>
        </is>
      </c>
    </row>
    <row r="342" ht="14.25" customHeight="1" s="20">
      <c r="A342" s="36" t="inlineStr">
        <is>
          <t>Waldburg-Zeil Kliniken GmbH &amp; Co. KG</t>
        </is>
      </c>
      <c r="B342" s="36" t="n">
        <v>3303</v>
      </c>
      <c r="C342" s="36" t="inlineStr">
        <is>
          <t>Gesundheitswesen</t>
        </is>
      </c>
      <c r="D342" s="36" t="inlineStr">
        <is>
          <t>Isny</t>
        </is>
      </c>
    </row>
    <row r="343" ht="14.25" customHeight="1" s="20">
      <c r="A343" s="36" t="inlineStr">
        <is>
          <t>Waldner Holding SE &amp; Co. KG</t>
        </is>
      </c>
      <c r="B343" s="36" t="n">
        <v>1726</v>
      </c>
      <c r="C343" s="36" t="inlineStr">
        <is>
          <t>Verpackungsmaschinen, Labortechnik</t>
        </is>
      </c>
      <c r="D343" s="36" t="inlineStr">
        <is>
          <t>Wangen</t>
        </is>
      </c>
    </row>
    <row r="344" ht="14.25" customHeight="1" s="20">
      <c r="A344" s="36" t="inlineStr">
        <is>
          <t>Walter AG</t>
        </is>
      </c>
      <c r="B344" s="36" t="n">
        <v>3800</v>
      </c>
      <c r="C344" s="36" t="inlineStr">
        <is>
          <t>Zerspanungswerkzeuge</t>
        </is>
      </c>
      <c r="D344" s="36" t="inlineStr">
        <is>
          <t>Tübingen</t>
        </is>
      </c>
    </row>
    <row r="345" ht="14.25" customHeight="1" s="20">
      <c r="A345" s="36" t="inlineStr">
        <is>
          <t>WEBER-HYDRAULIK GMBH</t>
        </is>
      </c>
      <c r="B345" s="36" t="n">
        <v>1500</v>
      </c>
      <c r="C345" s="36" t="inlineStr">
        <is>
          <t>Hydraulische Komponenten</t>
        </is>
      </c>
      <c r="D345" s="36" t="inlineStr">
        <is>
          <t>Güglingen</t>
        </is>
      </c>
    </row>
    <row r="346" ht="14.25" customHeight="1" s="20">
      <c r="A346" s="36" t="inlineStr">
        <is>
          <t>Weishaupt Gruppe</t>
        </is>
      </c>
      <c r="B346" s="36" t="n">
        <v>4315</v>
      </c>
      <c r="C346" s="36" t="inlineStr">
        <is>
          <t>Energie-Technik</t>
        </is>
      </c>
      <c r="D346" s="36" t="inlineStr">
        <is>
          <t>Schwendi</t>
        </is>
      </c>
      <c r="E346" s="19" t="inlineStr">
        <is>
          <t>Eigenes Portal</t>
        </is>
      </c>
      <c r="F346" s="19" t="inlineStr">
        <is>
          <t>https://karriere.weishaupt.de/</t>
        </is>
      </c>
    </row>
    <row r="347" ht="14.25" customHeight="1" s="20">
      <c r="A347" s="36" t="inlineStr">
        <is>
          <t>Weleda AG</t>
        </is>
      </c>
      <c r="B347" s="36" t="n">
        <v>2320</v>
      </c>
      <c r="C347" s="36" t="inlineStr">
        <is>
          <t>Pharma / Naturkosmetik</t>
        </is>
      </c>
      <c r="D347" s="36" t="inlineStr">
        <is>
          <t>Arlesheim (CH)</t>
        </is>
      </c>
    </row>
    <row r="348" ht="14.25" customHeight="1" s="20">
      <c r="A348" s="36" t="inlineStr">
        <is>
          <t>WGV Versicherungen</t>
        </is>
      </c>
      <c r="B348" s="36" t="n">
        <v>1150</v>
      </c>
      <c r="C348" s="36" t="inlineStr">
        <is>
          <t>Versicherung</t>
        </is>
      </c>
      <c r="D348" s="36" t="inlineStr">
        <is>
          <t>Stuttgart</t>
        </is>
      </c>
    </row>
    <row r="349" ht="14.25" customHeight="1" s="20">
      <c r="A349" s="36" t="inlineStr">
        <is>
          <t>Wieland-Werke Aktiengesellschaft</t>
        </is>
      </c>
      <c r="B349" s="36" t="n">
        <v>9830</v>
      </c>
      <c r="C349" s="36" t="inlineStr">
        <is>
          <t>Metallerzeugnisse</t>
        </is>
      </c>
      <c r="D349" s="36" t="inlineStr">
        <is>
          <t>Ulm</t>
        </is>
      </c>
      <c r="E349" s="19" t="inlineStr">
        <is>
          <t>Eigenes Portal</t>
        </is>
      </c>
      <c r="F349" s="19" t="inlineStr">
        <is>
          <t>https://jobs.wieland.com/de/jobs</t>
        </is>
      </c>
    </row>
    <row r="350" ht="14.25" customHeight="1" s="20">
      <c r="A350" s="36" t="inlineStr">
        <is>
          <t>Wilhelm Layher GmbH &amp; Co KG</t>
        </is>
      </c>
      <c r="B350" s="36" t="n">
        <v>2700</v>
      </c>
      <c r="C350" s="36" t="inlineStr">
        <is>
          <t>Systemgerüste</t>
        </is>
      </c>
      <c r="D350" s="36" t="inlineStr">
        <is>
          <t>Güglingen-Eibensbach</t>
        </is>
      </c>
    </row>
    <row r="351" ht="14.25" customHeight="1" s="20">
      <c r="A351" s="36" t="inlineStr">
        <is>
          <t>Winterhalter Gastronom GmbH</t>
        </is>
      </c>
      <c r="B351" s="36" t="n">
        <v>2100</v>
      </c>
      <c r="C351" s="36" t="inlineStr">
        <is>
          <t>Maschinenbau</t>
        </is>
      </c>
      <c r="D351" s="36" t="inlineStr">
        <is>
          <t>Meckenbeuren</t>
        </is>
      </c>
    </row>
    <row r="352" ht="14.25" customHeight="1" s="20">
      <c r="A352" s="36" t="inlineStr">
        <is>
          <t>Wirthwein-Gruppe</t>
        </is>
      </c>
      <c r="B352" s="36" t="n">
        <v>3000</v>
      </c>
      <c r="C352" s="36" t="inlineStr">
        <is>
          <t>Kunststofftechnik</t>
        </is>
      </c>
      <c r="D352" s="36" t="inlineStr">
        <is>
          <t>Creglingen</t>
        </is>
      </c>
    </row>
    <row r="353" ht="14.25" customHeight="1" s="20">
      <c r="A353" s="36" t="inlineStr">
        <is>
          <t>WITTENSTEIN SE</t>
        </is>
      </c>
      <c r="B353" s="36" t="n">
        <v>2800</v>
      </c>
      <c r="C353" s="36" t="inlineStr">
        <is>
          <t>Mechatronische Antriebstechnik</t>
        </is>
      </c>
      <c r="D353" s="36" t="inlineStr">
        <is>
          <t>Igersheim</t>
        </is>
      </c>
    </row>
    <row r="354" ht="14.25" customHeight="1" s="20">
      <c r="A354" s="36" t="inlineStr">
        <is>
          <t>Witzenmann GmbH</t>
        </is>
      </c>
      <c r="B354" s="36" t="n">
        <v>4500</v>
      </c>
      <c r="C354" s="36" t="inlineStr">
        <is>
          <t>Metallerzeugnisse</t>
        </is>
      </c>
      <c r="D354" s="36" t="inlineStr">
        <is>
          <t>Pforzheim</t>
        </is>
      </c>
      <c r="E354" s="19" t="inlineStr">
        <is>
          <t>Eigenes Portal</t>
        </is>
      </c>
      <c r="F354" s="19" t="inlineStr">
        <is>
          <t>https://jobs.witzenmann.com/</t>
        </is>
      </c>
    </row>
    <row r="355" ht="14.25" customHeight="1" s="20">
      <c r="A355" s="36" t="inlineStr">
        <is>
          <t>WOLFF &amp; MÜLLER Gruppe</t>
        </is>
      </c>
      <c r="B355" s="36" t="n">
        <v>2200</v>
      </c>
      <c r="C355" s="36" t="inlineStr">
        <is>
          <t>Bauwirtschaft</t>
        </is>
      </c>
      <c r="D355" s="36" t="inlineStr">
        <is>
          <t>Stuttgart</t>
        </is>
      </c>
    </row>
    <row r="356" ht="14.25" customHeight="1" s="20">
      <c r="A356" s="36" t="inlineStr">
        <is>
          <t>Woodward L'Orange GmbH</t>
        </is>
      </c>
      <c r="B356" s="36" t="n">
        <v>1200</v>
      </c>
      <c r="C356" s="36" t="inlineStr">
        <is>
          <t>Motormanagement/Einspritzsysteme</t>
        </is>
      </c>
      <c r="D356" s="36" t="inlineStr">
        <is>
          <t>Stuttgart</t>
        </is>
      </c>
    </row>
    <row r="357" ht="14.25" customHeight="1" s="20">
      <c r="A357" s="36" t="inlineStr">
        <is>
          <t>Wörwag Pharma GmbH &amp; Co.KG</t>
        </is>
      </c>
      <c r="B357" s="36" t="n">
        <v>1400</v>
      </c>
      <c r="C357" s="36" t="inlineStr">
        <is>
          <t>Pharmaindustrie</t>
        </is>
      </c>
      <c r="D357" s="36" t="inlineStr">
        <is>
          <t>Böblingen</t>
        </is>
      </c>
    </row>
    <row r="358" ht="14.25" customHeight="1" s="20">
      <c r="A358" s="36" t="inlineStr">
        <is>
          <t>Würth Gruppe</t>
        </is>
      </c>
      <c r="B358" s="36" t="n">
        <v>88479</v>
      </c>
      <c r="C358" s="36" t="inlineStr">
        <is>
          <t>Montagetechnik</t>
        </is>
      </c>
      <c r="D358" s="36" t="inlineStr">
        <is>
          <t>Künzelsau</t>
        </is>
      </c>
      <c r="E358" s="19" t="inlineStr">
        <is>
          <t>Eigenes Portal</t>
        </is>
      </c>
      <c r="F358" s="19" t="inlineStr">
        <is>
          <t>https://your-career.wuerth.com/</t>
        </is>
      </c>
    </row>
    <row r="359" ht="14.25" customHeight="1" s="20">
      <c r="A359" s="36" t="inlineStr">
        <is>
          <t>Wüstenrot &amp; Württembergische AG</t>
        </is>
      </c>
      <c r="B359" s="36" t="n">
        <v>7500</v>
      </c>
      <c r="C359" s="36" t="inlineStr">
        <is>
          <t>Finanzdienstleistung</t>
        </is>
      </c>
      <c r="D359" s="36" t="inlineStr">
        <is>
          <t>Kornwestheim</t>
        </is>
      </c>
      <c r="E359" s="19" t="inlineStr">
        <is>
          <t>Eigenes Portal</t>
        </is>
      </c>
      <c r="F359" s="19" t="inlineStr">
        <is>
          <t>https://www.ww-ag.com/de/karriere</t>
        </is>
      </c>
    </row>
    <row r="360" ht="14.25" customHeight="1" s="20">
      <c r="A360" s="36" t="inlineStr">
        <is>
          <t>Zehnder Group Deutschland GmbH</t>
        </is>
      </c>
      <c r="B360" s="36" t="n">
        <v>3500</v>
      </c>
      <c r="C360" s="36" t="inlineStr">
        <is>
          <t>Heizungs- und Klimatechnik</t>
        </is>
      </c>
      <c r="D360" s="36" t="inlineStr">
        <is>
          <t>Lahr/Schwarzwald</t>
        </is>
      </c>
    </row>
    <row r="361" ht="14.25" customHeight="1" s="20">
      <c r="A361" s="36" t="inlineStr">
        <is>
          <t>ZEISS Gruppe</t>
        </is>
      </c>
      <c r="B361" s="36" t="n">
        <v>44000</v>
      </c>
      <c r="C361" s="36" t="inlineStr">
        <is>
          <t>Technologieunternehmen</t>
        </is>
      </c>
      <c r="D361" s="36" t="inlineStr">
        <is>
          <t>Oberkochen</t>
        </is>
      </c>
      <c r="E361" s="19" t="inlineStr">
        <is>
          <t>Workday</t>
        </is>
      </c>
      <c r="F361" s="19" t="inlineStr">
        <is>
          <t>https://zeissgroup.wd3.myworkdayjobs.com/External</t>
        </is>
      </c>
      <c r="G361" s="19" t="inlineStr">
        <is>
          <t>https://zeissgroup.wd3.myworkdayjobs.com/wday/cxs/zeissgroup/External/jobs</t>
        </is>
      </c>
    </row>
    <row r="362" ht="14.25" customHeight="1" s="20">
      <c r="A362" s="36" t="inlineStr">
        <is>
          <t>Zeppelin GmbH</t>
        </is>
      </c>
      <c r="B362" s="36" t="n">
        <v>8500</v>
      </c>
      <c r="C362" s="36" t="inlineStr">
        <is>
          <t>Bau- und Landmaschinen</t>
        </is>
      </c>
      <c r="D362" s="36" t="inlineStr">
        <is>
          <t>Friedrichshafen</t>
        </is>
      </c>
      <c r="E362" s="19" t="inlineStr">
        <is>
          <t>Workday</t>
        </is>
      </c>
      <c r="F362" s="19" t="inlineStr">
        <is>
          <t>https://www.zeppelin.com/de/de/karriere/</t>
        </is>
      </c>
      <c r="G362" s="19" t="inlineStr">
        <is>
          <t>https://zeppelin.wd3.myworkdayjobs.com/wday/cxs/zeppelin/de-DE/careers/jobs</t>
        </is>
      </c>
    </row>
    <row r="363" ht="14.25" customHeight="1" s="20">
      <c r="A363" s="36" t="inlineStr">
        <is>
          <t>ZF Friedrichshafen AG</t>
        </is>
      </c>
      <c r="B363" s="36" t="n">
        <v>168700</v>
      </c>
      <c r="C363" s="36" t="inlineStr">
        <is>
          <t>Automobilzulieferer</t>
        </is>
      </c>
      <c r="D363" s="36" t="inlineStr">
        <is>
          <t>Friedrichshafen</t>
        </is>
      </c>
      <c r="E363" s="19" t="inlineStr">
        <is>
          <t>SAP SuccessFactors</t>
        </is>
      </c>
      <c r="F363" s="19" t="inlineStr">
        <is>
          <t>https://www.zf.com/careers</t>
        </is>
      </c>
    </row>
    <row r="364" ht="14.25" customHeight="1" s="20">
      <c r="A364" s="36" t="inlineStr">
        <is>
          <t>ZF LIFETEC</t>
        </is>
      </c>
      <c r="B364" s="36" t="n">
        <v>36000</v>
      </c>
      <c r="C364" s="36" t="inlineStr">
        <is>
          <t>Automobilzulieferer</t>
        </is>
      </c>
      <c r="D364" s="36" t="inlineStr">
        <is>
          <t>Alfdorf</t>
        </is>
      </c>
      <c r="E364" s="19" t="inlineStr">
        <is>
          <t>Eigenes Portal</t>
        </is>
      </c>
      <c r="F364" s="19" t="inlineStr">
        <is>
          <t>https://careers.zf-lifetec.com/</t>
        </is>
      </c>
    </row>
    <row r="365" ht="14.25" customHeight="1" s="20">
      <c r="A365" s="36" t="inlineStr">
        <is>
          <t>ZIEHL-ABEGG</t>
        </is>
      </c>
      <c r="B365" s="36" t="n">
        <v>5000</v>
      </c>
      <c r="C365" s="36" t="inlineStr">
        <is>
          <t>Antriebstechnik, Lufttechnik</t>
        </is>
      </c>
      <c r="D365" s="36" t="inlineStr">
        <is>
          <t>Künzelsau</t>
        </is>
      </c>
      <c r="E365" s="19" t="inlineStr">
        <is>
          <t>Eigenes Portal</t>
        </is>
      </c>
      <c r="F365" s="19" t="inlineStr">
        <is>
          <t>https://career.ziehl-abegg.com/</t>
        </is>
      </c>
    </row>
    <row r="366" ht="14.25" customHeight="1" s="20">
      <c r="A366" s="36" t="inlineStr">
        <is>
          <t>Zollern GmbH &amp; Co. KG</t>
        </is>
      </c>
      <c r="B366" s="36" t="n">
        <v>2000</v>
      </c>
      <c r="C366" s="36" t="inlineStr">
        <is>
          <t>Metallverarbeitung</t>
        </is>
      </c>
      <c r="D366" s="36" t="inlineStr">
        <is>
          <t>Sigmaringendorf</t>
        </is>
      </c>
    </row>
    <row r="367" ht="14.25" customHeight="1" s="20">
      <c r="A367" s="36" t="inlineStr">
        <is>
          <t>Zollernalb Klinikum gGmbH</t>
        </is>
      </c>
      <c r="B367" s="36" t="n">
        <v>1500</v>
      </c>
      <c r="C367" s="36" t="inlineStr">
        <is>
          <t>Gesundheitswesen</t>
        </is>
      </c>
      <c r="D367" s="36" t="inlineStr">
        <is>
          <t>Balingen</t>
        </is>
      </c>
    </row>
    <row r="368" ht="14.25" customHeight="1" s="20">
      <c r="A368" s="36" t="inlineStr">
        <is>
          <t>ZwickRoell SE</t>
        </is>
      </c>
      <c r="B368" s="36" t="n">
        <v>1865</v>
      </c>
      <c r="C368" s="36" t="inlineStr">
        <is>
          <t>Materialprüfung</t>
        </is>
      </c>
      <c r="D368" s="36" t="inlineStr">
        <is>
          <t>Ulm</t>
        </is>
      </c>
    </row>
    <row r="369">
      <c r="A369" s="19" t="inlineStr">
        <is>
          <t>Emil Schmid Maschinenbau GmbH &amp; Co. KG</t>
        </is>
      </c>
      <c r="B369" s="19" t="n">
        <v>300</v>
      </c>
      <c r="C369" s="19" t="inlineStr">
        <is>
          <t>Maschinenbau (Sondermaschinen-/Anlagenbau)</t>
        </is>
      </c>
      <c r="D369" s="19" t="inlineStr">
        <is>
          <t>Sonnenbühl-Willmandingen</t>
        </is>
      </c>
    </row>
    <row r="370">
      <c r="A370" s="19" t="inlineStr">
        <is>
          <t>Grüner Systemtechnik GmbH &amp; Co. KG</t>
        </is>
      </c>
      <c r="B370" s="19" t="n">
        <v>900</v>
      </c>
      <c r="C370" s="19" t="inlineStr">
        <is>
          <t>Maschinenbau/Automobilzulieferer (Bearbeitungszentren, Gehäuse)</t>
        </is>
      </c>
      <c r="D370" s="19" t="inlineStr">
        <is>
          <t>Bad Überkingen</t>
        </is>
      </c>
    </row>
    <row r="371">
      <c r="A371" s="19" t="inlineStr">
        <is>
          <t>Polytec GmbH</t>
        </is>
      </c>
      <c r="B371" s="19" t="n">
        <v>500</v>
      </c>
      <c r="C371" s="19" t="inlineStr">
        <is>
          <t>Technologie (optische Messtechnik)</t>
        </is>
      </c>
      <c r="D371" s="19" t="inlineStr">
        <is>
          <t>Waldbronn</t>
        </is>
      </c>
    </row>
    <row r="372">
      <c r="A372" s="19" t="inlineStr">
        <is>
          <t>Leadec Holding BV &amp; Co. KG</t>
        </is>
      </c>
      <c r="B372" s="19" t="n">
        <v>22500</v>
      </c>
      <c r="C372" s="19" t="inlineStr">
        <is>
          <t>Dienstleistung (Industrieservice/Fabrik-Lebenszyklus)</t>
        </is>
      </c>
      <c r="D372" s="19" t="inlineStr">
        <is>
          <t>Stuttgart</t>
        </is>
      </c>
    </row>
    <row r="373">
      <c r="A373" s="19" t="inlineStr">
        <is>
          <t>Würth Elektronik eiSos GmbH &amp; Co. KG</t>
        </is>
      </c>
      <c r="B373" s="19" t="n">
        <v>7300</v>
      </c>
      <c r="C373" s="19" t="inlineStr">
        <is>
          <t>Technologie (elektronische Bauteile)</t>
        </is>
      </c>
      <c r="D373" s="19" t="inlineStr">
        <is>
          <t>Niedernhall</t>
        </is>
      </c>
      <c r="E373" s="19" t="inlineStr">
        <is>
          <t>Eigenes Portal</t>
        </is>
      </c>
      <c r="F373" s="19" t="inlineStr">
        <is>
          <t>https://jobs.we-online.com/</t>
        </is>
      </c>
    </row>
    <row r="374">
      <c r="A374" s="19" t="inlineStr">
        <is>
          <t>Precitec GmbH &amp; Co. KG</t>
        </is>
      </c>
      <c r="B374" s="19" t="n">
        <v>750</v>
      </c>
      <c r="C374" s="19" t="inlineStr">
        <is>
          <t>Technologie (Lasertechnik, optische Messtechnik)</t>
        </is>
      </c>
      <c r="D374" s="19" t="inlineStr">
        <is>
          <t>Gaggenau</t>
        </is>
      </c>
    </row>
    <row r="375">
      <c r="A375" s="19" t="inlineStr">
        <is>
          <t>MPDV Mikrolab GmbH</t>
        </is>
      </c>
      <c r="B375" s="19" t="n">
        <v>530</v>
      </c>
      <c r="C375" s="19" t="inlineStr">
        <is>
          <t>Dienstleistung/Software (Manufacturing Execution Systems)</t>
        </is>
      </c>
      <c r="D375" s="19" t="inlineStr">
        <is>
          <t>Mosbach</t>
        </is>
      </c>
    </row>
    <row r="376">
      <c r="A376" s="19" t="inlineStr">
        <is>
          <t>KASTO Maschinenbau GmbH &amp; Co. KG</t>
        </is>
      </c>
      <c r="B376" s="19" t="n">
        <v>700</v>
      </c>
      <c r="C376" s="19" t="inlineStr">
        <is>
          <t>Maschinenbau (Sägemaschinen, Lagersysteme)</t>
        </is>
      </c>
      <c r="D376" s="19" t="inlineStr">
        <is>
          <t>Achern</t>
        </is>
      </c>
    </row>
    <row r="377">
      <c r="A377" s="19" t="inlineStr">
        <is>
          <t>IT Baden-Württemberg (BITBW)</t>
        </is>
      </c>
      <c r="B377" s="19" t="n">
        <v>400</v>
      </c>
      <c r="C377" s="19" t="inlineStr">
        <is>
          <t>Dienstleistung (zentraler IT-Dienstleister der Landesverwaltung BW)</t>
        </is>
      </c>
      <c r="D377" s="19" t="inlineStr">
        <is>
          <t>Stuttgart</t>
        </is>
      </c>
    </row>
  </sheetData>
  <hyperlinks>
    <hyperlink xmlns:r="http://schemas.openxmlformats.org/officeDocument/2006/relationships" ref="F2" display="https://pepperlfuchs.wd103.myworkdayjobs.com/de-DE/PepperlFuchs" r:id="rId1"/>
    <hyperlink xmlns:r="http://schemas.openxmlformats.org/officeDocument/2006/relationships" ref="G2" display="https://pepperlfuchs.wd103.myworkdayjobs.com/wday/cxs/pepperlfuchs/PepperlFuchs/jobs" r:id="rId2"/>
    <hyperlink xmlns:r="http://schemas.openxmlformats.org/officeDocument/2006/relationships" ref="F3" display="https://www.kern-liebers.com/karriere/offene-stellen/" r:id="rId3"/>
    <hyperlink xmlns:r="http://schemas.openxmlformats.org/officeDocument/2006/relationships" ref="G3" display="https://www.kern-liebers.com/karriere/offene-stellen/" r:id="rId4"/>
    <hyperlink xmlns:r="http://schemas.openxmlformats.org/officeDocument/2006/relationships" ref="F4" location="c875" display="https://www.kummer-gmbh.de/karriere.html#c875" r:id="rId5"/>
    <hyperlink xmlns:r="http://schemas.openxmlformats.org/officeDocument/2006/relationships" ref="G4" location="c875" display="https://www.kummer-gmbh.de/karriere.html#c875" r:id="rId6"/>
    <hyperlink xmlns:r="http://schemas.openxmlformats.org/officeDocument/2006/relationships" ref="F5" display="https://jobs.ritter-sport.com/search/?q=&amp;locationsearch=&amp;searchResultView=LIST" r:id="rId7"/>
    <hyperlink xmlns:r="http://schemas.openxmlformats.org/officeDocument/2006/relationships" ref="G5" display="https://jobs.ritter-sport.com/services/recruiting/v1/jobs" r:id="rId8"/>
    <hyperlink xmlns:r="http://schemas.openxmlformats.org/officeDocument/2006/relationships" ref="F6" display="https://mvz-karlsruhe.career.softgarden.de/" r:id="rId9"/>
    <hyperlink xmlns:r="http://schemas.openxmlformats.org/officeDocument/2006/relationships" ref="G6" display="https://mvz-karlsruhe.career.softgarden.de/" r:id="rId10"/>
    <hyperlink xmlns:r="http://schemas.openxmlformats.org/officeDocument/2006/relationships" ref="G7" display="https://diconium.wd3.myworkdayjobs.com/wday/cxs/diconium/diconium/jobs" r:id="rId11"/>
    <hyperlink xmlns:r="http://schemas.openxmlformats.org/officeDocument/2006/relationships" ref="F8" display="https://covestro.wd3.myworkdayjobs.com/de-DE/cov_external" r:id="rId12"/>
    <hyperlink xmlns:r="http://schemas.openxmlformats.org/officeDocument/2006/relationships" ref="G8" display="https://covestro.wd3.myworkdayjobs.com/wday/cxs/covestro/cov_external/jobs" r:id="rId13"/>
    <hyperlink xmlns:r="http://schemas.openxmlformats.org/officeDocument/2006/relationships" ref="F9" display="https://trumpf.wd3.myworkdayjobs.com/de-DE/TRUMPF_Graduates_and_Professionals?_gl=1*er7x94*_gcl_au*MTU4NzgyODg4My4xNzg3NTU4NzQ3*_ga*MTM3MTI4NDE3NS4xNzg3NTU4NzUw*_ga_0L82LGW77D*czE3ODc1NzA1MjQkbzMkZzEkdDE3ODc1NzA1MjUkajU5JGwwJGgw" r:id="rId14"/>
    <hyperlink xmlns:r="http://schemas.openxmlformats.org/officeDocument/2006/relationships" ref="G9" display="https://trumpf.wd3.myworkdayjobs.com/wday/cxs/trumpf/TRUMPF_Graduates_and_Professionals/jobs" r:id="rId15"/>
    <hyperlink xmlns:r="http://schemas.openxmlformats.org/officeDocument/2006/relationships" ref="F10" display="https://swisscom.wd103.myworkdayjobs.com/de-DE/SwisscomExternalCareers" r:id="rId16"/>
    <hyperlink xmlns:r="http://schemas.openxmlformats.org/officeDocument/2006/relationships" ref="G10" display="https://swisscom.wd103.myworkdayjobs.com/wday/cxs/swisscom/SwisscomExternalCareers/jobs" r:id="rId17"/>
    <hyperlink xmlns:r="http://schemas.openxmlformats.org/officeDocument/2006/relationships" ref="F11" display="https://heidelberg.wd502.myworkdayjobs.com/de-DE/careersHEIDELBERG" r:id="rId18"/>
    <hyperlink xmlns:r="http://schemas.openxmlformats.org/officeDocument/2006/relationships" ref="G11" display="https://heidelberg.wd502.myworkdayjobs.com/wday/cxs/heidelberg/careersHEIDELBERG/jobs" r:id="rId19"/>
    <hyperlink xmlns:r="http://schemas.openxmlformats.org/officeDocument/2006/relationships" ref="F13" r:id="rId20"/>
    <hyperlink xmlns:r="http://schemas.openxmlformats.org/officeDocument/2006/relationships" ref="F17" r:id="rId21"/>
    <hyperlink xmlns:r="http://schemas.openxmlformats.org/officeDocument/2006/relationships" ref="F18" r:id="rId22"/>
    <hyperlink xmlns:r="http://schemas.openxmlformats.org/officeDocument/2006/relationships" ref="G18" r:id="rId23"/>
    <hyperlink xmlns:r="http://schemas.openxmlformats.org/officeDocument/2006/relationships" ref="F19" r:id="rId24"/>
    <hyperlink xmlns:r="http://schemas.openxmlformats.org/officeDocument/2006/relationships" ref="F23" r:id="rId25"/>
    <hyperlink xmlns:r="http://schemas.openxmlformats.org/officeDocument/2006/relationships" ref="F25" r:id="rId26"/>
    <hyperlink xmlns:r="http://schemas.openxmlformats.org/officeDocument/2006/relationships" ref="F26" r:id="rId27"/>
    <hyperlink xmlns:r="http://schemas.openxmlformats.org/officeDocument/2006/relationships" ref="F28" r:id="rId28"/>
    <hyperlink xmlns:r="http://schemas.openxmlformats.org/officeDocument/2006/relationships" ref="F30" r:id="rId29"/>
    <hyperlink xmlns:r="http://schemas.openxmlformats.org/officeDocument/2006/relationships" ref="F35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2" r:id="rId34"/>
    <hyperlink xmlns:r="http://schemas.openxmlformats.org/officeDocument/2006/relationships" ref="F47" r:id="rId35"/>
    <hyperlink xmlns:r="http://schemas.openxmlformats.org/officeDocument/2006/relationships" ref="F49" r:id="rId36"/>
    <hyperlink xmlns:r="http://schemas.openxmlformats.org/officeDocument/2006/relationships" ref="F59" r:id="rId37"/>
    <hyperlink xmlns:r="http://schemas.openxmlformats.org/officeDocument/2006/relationships" ref="F64" r:id="rId38"/>
    <hyperlink xmlns:r="http://schemas.openxmlformats.org/officeDocument/2006/relationships" ref="F68" r:id="rId39"/>
    <hyperlink xmlns:r="http://schemas.openxmlformats.org/officeDocument/2006/relationships" ref="G68" r:id="rId40"/>
    <hyperlink xmlns:r="http://schemas.openxmlformats.org/officeDocument/2006/relationships" ref="F70" r:id="rId41"/>
    <hyperlink xmlns:r="http://schemas.openxmlformats.org/officeDocument/2006/relationships" ref="F71" r:id="rId42"/>
    <hyperlink xmlns:r="http://schemas.openxmlformats.org/officeDocument/2006/relationships" ref="F73" r:id="rId43"/>
    <hyperlink xmlns:r="http://schemas.openxmlformats.org/officeDocument/2006/relationships" ref="F74" r:id="rId44"/>
    <hyperlink xmlns:r="http://schemas.openxmlformats.org/officeDocument/2006/relationships" ref="F79" r:id="rId45"/>
    <hyperlink xmlns:r="http://schemas.openxmlformats.org/officeDocument/2006/relationships" ref="F80" r:id="rId46"/>
    <hyperlink xmlns:r="http://schemas.openxmlformats.org/officeDocument/2006/relationships" ref="F81" r:id="rId47"/>
    <hyperlink xmlns:r="http://schemas.openxmlformats.org/officeDocument/2006/relationships" ref="F82" r:id="rId48"/>
    <hyperlink xmlns:r="http://schemas.openxmlformats.org/officeDocument/2006/relationships" ref="F85" r:id="rId49"/>
    <hyperlink xmlns:r="http://schemas.openxmlformats.org/officeDocument/2006/relationships" ref="F86" r:id="rId50"/>
    <hyperlink xmlns:r="http://schemas.openxmlformats.org/officeDocument/2006/relationships" ref="F87" r:id="rId51"/>
    <hyperlink xmlns:r="http://schemas.openxmlformats.org/officeDocument/2006/relationships" ref="F88" r:id="rId52"/>
    <hyperlink xmlns:r="http://schemas.openxmlformats.org/officeDocument/2006/relationships" ref="F89" r:id="rId53"/>
    <hyperlink xmlns:r="http://schemas.openxmlformats.org/officeDocument/2006/relationships" ref="F90" r:id="rId54"/>
    <hyperlink xmlns:r="http://schemas.openxmlformats.org/officeDocument/2006/relationships" ref="F92" r:id="rId55"/>
    <hyperlink xmlns:r="http://schemas.openxmlformats.org/officeDocument/2006/relationships" ref="F93" r:id="rId56"/>
    <hyperlink xmlns:r="http://schemas.openxmlformats.org/officeDocument/2006/relationships" ref="F95" r:id="rId57"/>
    <hyperlink xmlns:r="http://schemas.openxmlformats.org/officeDocument/2006/relationships" ref="F97" r:id="rId58"/>
    <hyperlink xmlns:r="http://schemas.openxmlformats.org/officeDocument/2006/relationships" ref="F102" r:id="rId59"/>
    <hyperlink xmlns:r="http://schemas.openxmlformats.org/officeDocument/2006/relationships" ref="F103" r:id="rId60"/>
    <hyperlink xmlns:r="http://schemas.openxmlformats.org/officeDocument/2006/relationships" ref="F104" r:id="rId61"/>
    <hyperlink xmlns:r="http://schemas.openxmlformats.org/officeDocument/2006/relationships" ref="G104" r:id="rId62"/>
    <hyperlink xmlns:r="http://schemas.openxmlformats.org/officeDocument/2006/relationships" ref="F108" r:id="rId63"/>
    <hyperlink xmlns:r="http://schemas.openxmlformats.org/officeDocument/2006/relationships" ref="F109" r:id="rId64"/>
    <hyperlink xmlns:r="http://schemas.openxmlformats.org/officeDocument/2006/relationships" ref="F110" r:id="rId65"/>
    <hyperlink xmlns:r="http://schemas.openxmlformats.org/officeDocument/2006/relationships" ref="F112" r:id="rId66"/>
    <hyperlink xmlns:r="http://schemas.openxmlformats.org/officeDocument/2006/relationships" ref="F114" r:id="rId67"/>
    <hyperlink xmlns:r="http://schemas.openxmlformats.org/officeDocument/2006/relationships" ref="F119" r:id="rId68"/>
    <hyperlink xmlns:r="http://schemas.openxmlformats.org/officeDocument/2006/relationships" ref="F121" r:id="rId69"/>
    <hyperlink xmlns:r="http://schemas.openxmlformats.org/officeDocument/2006/relationships" ref="F123" r:id="rId70"/>
    <hyperlink xmlns:r="http://schemas.openxmlformats.org/officeDocument/2006/relationships" ref="F124" r:id="rId71"/>
    <hyperlink xmlns:r="http://schemas.openxmlformats.org/officeDocument/2006/relationships" ref="F133" r:id="rId72"/>
    <hyperlink xmlns:r="http://schemas.openxmlformats.org/officeDocument/2006/relationships" ref="F135" r:id="rId73"/>
    <hyperlink xmlns:r="http://schemas.openxmlformats.org/officeDocument/2006/relationships" ref="F138" r:id="rId74"/>
    <hyperlink xmlns:r="http://schemas.openxmlformats.org/officeDocument/2006/relationships" ref="F139" r:id="rId75"/>
    <hyperlink xmlns:r="http://schemas.openxmlformats.org/officeDocument/2006/relationships" ref="F140" r:id="rId76"/>
    <hyperlink xmlns:r="http://schemas.openxmlformats.org/officeDocument/2006/relationships" ref="F142" r:id="rId77"/>
    <hyperlink xmlns:r="http://schemas.openxmlformats.org/officeDocument/2006/relationships" ref="F143" r:id="rId78"/>
    <hyperlink xmlns:r="http://schemas.openxmlformats.org/officeDocument/2006/relationships" ref="F147" r:id="rId79"/>
    <hyperlink xmlns:r="http://schemas.openxmlformats.org/officeDocument/2006/relationships" ref="G147" r:id="rId80"/>
    <hyperlink xmlns:r="http://schemas.openxmlformats.org/officeDocument/2006/relationships" ref="F151" r:id="rId81"/>
    <hyperlink xmlns:r="http://schemas.openxmlformats.org/officeDocument/2006/relationships" ref="F156" r:id="rId82"/>
    <hyperlink xmlns:r="http://schemas.openxmlformats.org/officeDocument/2006/relationships" ref="F158" r:id="rId83"/>
    <hyperlink xmlns:r="http://schemas.openxmlformats.org/officeDocument/2006/relationships" ref="F159" r:id="rId84"/>
    <hyperlink xmlns:r="http://schemas.openxmlformats.org/officeDocument/2006/relationships" ref="F161" r:id="rId85"/>
    <hyperlink xmlns:r="http://schemas.openxmlformats.org/officeDocument/2006/relationships" ref="F167" r:id="rId86"/>
    <hyperlink xmlns:r="http://schemas.openxmlformats.org/officeDocument/2006/relationships" ref="F170" r:id="rId87"/>
    <hyperlink xmlns:r="http://schemas.openxmlformats.org/officeDocument/2006/relationships" ref="F173" r:id="rId88"/>
    <hyperlink xmlns:r="http://schemas.openxmlformats.org/officeDocument/2006/relationships" ref="G173" r:id="rId89"/>
    <hyperlink xmlns:r="http://schemas.openxmlformats.org/officeDocument/2006/relationships" ref="F179" r:id="rId90"/>
    <hyperlink xmlns:r="http://schemas.openxmlformats.org/officeDocument/2006/relationships" ref="F193" r:id="rId91"/>
    <hyperlink xmlns:r="http://schemas.openxmlformats.org/officeDocument/2006/relationships" ref="F195" r:id="rId92"/>
    <hyperlink xmlns:r="http://schemas.openxmlformats.org/officeDocument/2006/relationships" ref="F199" r:id="rId93"/>
    <hyperlink xmlns:r="http://schemas.openxmlformats.org/officeDocument/2006/relationships" ref="F202" r:id="rId94"/>
    <hyperlink xmlns:r="http://schemas.openxmlformats.org/officeDocument/2006/relationships" ref="F203" r:id="rId95"/>
    <hyperlink xmlns:r="http://schemas.openxmlformats.org/officeDocument/2006/relationships" ref="F207" r:id="rId96"/>
    <hyperlink xmlns:r="http://schemas.openxmlformats.org/officeDocument/2006/relationships" ref="F208" r:id="rId97"/>
    <hyperlink xmlns:r="http://schemas.openxmlformats.org/officeDocument/2006/relationships" ref="F214" r:id="rId98"/>
    <hyperlink xmlns:r="http://schemas.openxmlformats.org/officeDocument/2006/relationships" ref="F216" r:id="rId99"/>
    <hyperlink xmlns:r="http://schemas.openxmlformats.org/officeDocument/2006/relationships" ref="F219" r:id="rId100"/>
    <hyperlink xmlns:r="http://schemas.openxmlformats.org/officeDocument/2006/relationships" ref="G219" r:id="rId101"/>
    <hyperlink xmlns:r="http://schemas.openxmlformats.org/officeDocument/2006/relationships" ref="F227" r:id="rId102"/>
    <hyperlink xmlns:r="http://schemas.openxmlformats.org/officeDocument/2006/relationships" ref="F230" r:id="rId103"/>
    <hyperlink xmlns:r="http://schemas.openxmlformats.org/officeDocument/2006/relationships" ref="F234" r:id="rId104"/>
    <hyperlink xmlns:r="http://schemas.openxmlformats.org/officeDocument/2006/relationships" ref="F237" r:id="rId105"/>
    <hyperlink xmlns:r="http://schemas.openxmlformats.org/officeDocument/2006/relationships" ref="F250" r:id="rId106"/>
    <hyperlink xmlns:r="http://schemas.openxmlformats.org/officeDocument/2006/relationships" ref="F253" r:id="rId107"/>
    <hyperlink xmlns:r="http://schemas.openxmlformats.org/officeDocument/2006/relationships" ref="F254" r:id="rId108"/>
    <hyperlink xmlns:r="http://schemas.openxmlformats.org/officeDocument/2006/relationships" ref="G254" r:id="rId109"/>
    <hyperlink xmlns:r="http://schemas.openxmlformats.org/officeDocument/2006/relationships" ref="F256" r:id="rId110"/>
    <hyperlink xmlns:r="http://schemas.openxmlformats.org/officeDocument/2006/relationships" ref="F258" r:id="rId111"/>
    <hyperlink xmlns:r="http://schemas.openxmlformats.org/officeDocument/2006/relationships" ref="F259" r:id="rId112"/>
    <hyperlink xmlns:r="http://schemas.openxmlformats.org/officeDocument/2006/relationships" ref="F261" r:id="rId113"/>
    <hyperlink xmlns:r="http://schemas.openxmlformats.org/officeDocument/2006/relationships" ref="F264" r:id="rId114"/>
    <hyperlink xmlns:r="http://schemas.openxmlformats.org/officeDocument/2006/relationships" ref="F268" r:id="rId115"/>
    <hyperlink xmlns:r="http://schemas.openxmlformats.org/officeDocument/2006/relationships" ref="F269" r:id="rId116"/>
    <hyperlink xmlns:r="http://schemas.openxmlformats.org/officeDocument/2006/relationships" ref="F271" r:id="rId117"/>
    <hyperlink xmlns:r="http://schemas.openxmlformats.org/officeDocument/2006/relationships" ref="F274" r:id="rId118"/>
    <hyperlink xmlns:r="http://schemas.openxmlformats.org/officeDocument/2006/relationships" ref="F277" r:id="rId119"/>
    <hyperlink xmlns:r="http://schemas.openxmlformats.org/officeDocument/2006/relationships" ref="F279" r:id="rId120"/>
    <hyperlink xmlns:r="http://schemas.openxmlformats.org/officeDocument/2006/relationships" ref="F282" r:id="rId121"/>
    <hyperlink xmlns:r="http://schemas.openxmlformats.org/officeDocument/2006/relationships" ref="F292" r:id="rId122"/>
    <hyperlink xmlns:r="http://schemas.openxmlformats.org/officeDocument/2006/relationships" ref="F296" r:id="rId123"/>
    <hyperlink xmlns:r="http://schemas.openxmlformats.org/officeDocument/2006/relationships" ref="F302" r:id="rId124"/>
    <hyperlink xmlns:r="http://schemas.openxmlformats.org/officeDocument/2006/relationships" ref="F303" r:id="rId125"/>
    <hyperlink xmlns:r="http://schemas.openxmlformats.org/officeDocument/2006/relationships" ref="F307" r:id="rId126"/>
    <hyperlink xmlns:r="http://schemas.openxmlformats.org/officeDocument/2006/relationships" ref="F316" r:id="rId127"/>
    <hyperlink xmlns:r="http://schemas.openxmlformats.org/officeDocument/2006/relationships" ref="F318" r:id="rId128"/>
    <hyperlink xmlns:r="http://schemas.openxmlformats.org/officeDocument/2006/relationships" ref="F322" r:id="rId129"/>
    <hyperlink xmlns:r="http://schemas.openxmlformats.org/officeDocument/2006/relationships" ref="F323" r:id="rId130"/>
    <hyperlink xmlns:r="http://schemas.openxmlformats.org/officeDocument/2006/relationships" ref="F324" r:id="rId131"/>
    <hyperlink xmlns:r="http://schemas.openxmlformats.org/officeDocument/2006/relationships" ref="F326" r:id="rId132"/>
    <hyperlink xmlns:r="http://schemas.openxmlformats.org/officeDocument/2006/relationships" ref="F333" r:id="rId133"/>
    <hyperlink xmlns:r="http://schemas.openxmlformats.org/officeDocument/2006/relationships" ref="F337" r:id="rId134"/>
    <hyperlink xmlns:r="http://schemas.openxmlformats.org/officeDocument/2006/relationships" ref="F346" r:id="rId135"/>
    <hyperlink xmlns:r="http://schemas.openxmlformats.org/officeDocument/2006/relationships" ref="F349" r:id="rId136"/>
    <hyperlink xmlns:r="http://schemas.openxmlformats.org/officeDocument/2006/relationships" ref="F354" r:id="rId137"/>
    <hyperlink xmlns:r="http://schemas.openxmlformats.org/officeDocument/2006/relationships" ref="F358" r:id="rId138"/>
    <hyperlink xmlns:r="http://schemas.openxmlformats.org/officeDocument/2006/relationships" ref="F359" r:id="rId139"/>
    <hyperlink xmlns:r="http://schemas.openxmlformats.org/officeDocument/2006/relationships" ref="F361" r:id="rId140"/>
    <hyperlink xmlns:r="http://schemas.openxmlformats.org/officeDocument/2006/relationships" ref="G361" r:id="rId141"/>
    <hyperlink xmlns:r="http://schemas.openxmlformats.org/officeDocument/2006/relationships" ref="F362" r:id="rId142"/>
    <hyperlink xmlns:r="http://schemas.openxmlformats.org/officeDocument/2006/relationships" ref="G362" r:id="rId143"/>
    <hyperlink xmlns:r="http://schemas.openxmlformats.org/officeDocument/2006/relationships" ref="F363" r:id="rId144"/>
    <hyperlink xmlns:r="http://schemas.openxmlformats.org/officeDocument/2006/relationships" ref="F364" r:id="rId145"/>
    <hyperlink xmlns:r="http://schemas.openxmlformats.org/officeDocument/2006/relationships" ref="F365" r:id="rId146"/>
    <hyperlink xmlns:r="http://schemas.openxmlformats.org/officeDocument/2006/relationships" ref="F373" r:id="rId14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9" min="1" max="1"/>
  </cols>
  <sheetData>
    <row r="1" ht="15" customHeight="1" s="20">
      <c r="A1" s="37" t="inlineStr">
        <is>
          <t>Hinweise zu dieser Liste</t>
        </is>
      </c>
    </row>
    <row r="2" ht="15" customHeight="1" s="20">
      <c r="A2" s="38" t="n"/>
    </row>
    <row r="3" ht="15" customHeight="1" s="20">
      <c r="A3" s="38" t="inlineStr">
        <is>
          <t>Stand: 25.08.2026</t>
        </is>
      </c>
    </row>
    <row r="4" ht="15" customHeight="1" s="20">
      <c r="A4" s="38" t="inlineStr">
        <is>
          <t>Zeilen 2-11 (Original-Beispiel): vollständige Angaben inkl. Career-Software und URLs, wie vom Nutzer bereitgestellt.</t>
        </is>
      </c>
    </row>
    <row r="5" ht="28.35" customHeight="1" s="20">
      <c r="A5" s="38" t="inlineStr">
        <is>
          <t>Zeilen 12-368: 357 weitere Unternehmen aus der offiziellen IHK-Publikation "Die größten Unternehmen in Baden-Württemberg" (Stand November 2024, Herausgeber: IHKs Baden-Württemberg, Federführung IHK Region Stuttgart).</t>
        </is>
      </c>
    </row>
    <row r="6" ht="28.35" customHeight="1" s="20">
      <c r="A6" s="38" t="inlineStr">
        <is>
          <t>Quelle: https://www.ifu.uni-stuttgart.de/lehre/documents/2019-groesste-unternehmen-bw-data.pdf (Spiegelung der offiziellen IHK-Broschüre)</t>
        </is>
      </c>
    </row>
    <row r="7" ht="15" customHeight="1" s="20">
      <c r="A7" s="38" t="n"/>
    </row>
    <row r="8" ht="15" customHeight="1" s="20">
      <c r="A8" s="37" t="inlineStr">
        <is>
          <t>WICHTIGE EINSCHRÄNKUNGEN:</t>
        </is>
      </c>
    </row>
    <row r="9" ht="41.75" customHeight="1" s="20">
      <c r="A9" s="38" t="inlineStr">
        <is>
          <t>1. Anzahl: Die IHK-Liste enthält ca. 367 Unternehmen (Kriterium: Hauptsitz in BW mit &gt;1.000 Beschäftigten gesamt, oder Sonderkriterien für Banken/Versicherungen). Eine geprüfte, frei zugängliche Liste von 1.000 Unternehmen existiert nicht öffentlich - ein Anbieter (Listenchampion) verkauft eine solche Liste kommerziell, sie liegt uns nicht vor.</t>
        </is>
      </c>
    </row>
    <row r="10" ht="41.75" customHeight="1" s="20">
      <c r="A10" s="38" t="inlineStr">
        <is>
          <t>2. Mitarbeiterzahl (Spalte 'employees'): Es wurde die Gesamtbeschäftigtenzahl (weltweit/konzernweit, IHK-Spalte 'Insgesamt') verwendet, sofern vorhanden - nicht die reine BW-Belegschaft. Bei Konzernen (z.B. Bosch, Schwarz Gruppe) ist dies die Konzern-Gesamtzahl, nicht die Zahl der BW-Standorte.</t>
        </is>
      </c>
    </row>
    <row r="11" ht="55.2" customHeight="1" s="20">
      <c r="A11" s="38" t="inlineStr">
        <is>
          <t>3. Career-Software / Career-URLs (Spalten E-G): Für die 357 neu hinzugefügten Unternehmen NICHT recherchiert - diese Felder sind bewusst leer gelassen, um keine falschen oder erfundenen Angaben zu liefern. Dies erfordert eine gezielte Einzelrecherche pro Unternehmen (Career-Portal-Software identifizieren + ggf. API/JSON-Endpunkt finden), was für 357 Firmen sehr aufwändig ist.</t>
        </is>
      </c>
    </row>
    <row r="12" ht="55.2" customHeight="1" s="20">
      <c r="A12" s="38" t="inlineStr">
        <is>
          <t>4. Einige gelistete Unternehmen haben ihren tatsächlichen Konzern-Hauptsitz außerhalb Baden-Württembergs, wurden aber von der IHK wegen bedeutender Beschäftigung in BW aufgeführt (z.B. Deutsche Bahn AG/Berlin, IBM Corporation/USA, Continental AG/Hannover, Nokia/Finnland, Geberit/Schweiz, Michelin/Frankreich, BAUHAUS/Schweiz, Weleda/Schweiz, Liebherr/Schweiz). Spalte D zeigt den in der Quelle genannten Standort.</t>
        </is>
      </c>
    </row>
    <row r="13" ht="15" customHeight="1" s="20">
      <c r="A13" s="38" t="inlineStr">
        <is>
          <t>5. Zahlen mit 'ca.' oder '&gt;' wurden als reine Zahl übernommen (z.B. 'ca. 3.000' -&gt; 3000).</t>
        </is>
      </c>
    </row>
    <row r="14" ht="15" customHeight="1" s="20">
      <c r="A14" s="38" t="n"/>
    </row>
    <row r="15" ht="15" customHeight="1" s="20">
      <c r="A15" s="37" t="inlineStr">
        <is>
          <t>EMPFEHLUNG FÜR NÄCHSTE SCHRITTE:</t>
        </is>
      </c>
    </row>
    <row r="16" ht="15" customHeight="1" s="20">
      <c r="A16" s="38" t="inlineStr">
        <is>
          <t>- Career-Daten können in Batches (z.B. 20-30 Firmen pro Anfrage) gezielt recherchiert werden.</t>
        </is>
      </c>
    </row>
    <row r="17" ht="41.75" customHeight="1" s="20">
      <c r="A17" s="38" t="inlineStr">
        <is>
          <t>- Für eine Annäherung an 1.000 Firmen: weitere Quellen wie regionale IHK-Firmendatenbanken oder kommerzielle Anbieter (z.B. Bisnode, Northdata, Listenchampion) heranziehen - dort sinkt allerdings die Datenqualität/Verifizierbarkeit deutlich unterhalb der Top-370.</t>
        </is>
      </c>
    </row>
    <row r="19">
      <c r="A19" s="19" t="inlineStr"/>
    </row>
    <row r="20">
      <c r="A20" s="19">
        <f>== AKTUALISIERUNG (25.08.2026) ===</f>
        <v/>
      </c>
    </row>
    <row r="21">
      <c r="A21" s="19" t="inlineStr">
        <is>
          <t>A) CAREER-LINKS ERGÄNZT (verifizierter erster Batch, per Web-Recherche geprüft):</t>
        </is>
      </c>
    </row>
    <row r="22">
      <c r="A22" s="19" t="inlineStr">
        <is>
          <t xml:space="preserve">   Für die 8 größten Unternehmen der Liste wurden Career-Software + Corporate-Career-URL</t>
        </is>
      </c>
    </row>
    <row r="23">
      <c r="A23" s="19" t="inlineStr">
        <is>
          <t xml:space="preserve">   ergänzt (Code/JSON-Endpoint nur dort, wo das Bewerbersystem eindeutig ableitbar war):</t>
        </is>
      </c>
    </row>
    <row r="24">
      <c r="A24" s="19" t="inlineStr">
        <is>
          <t xml:space="preserve">   - Robert Bosch GmbH: SmartRecruiters (inkl. API-Endpoint)</t>
        </is>
      </c>
    </row>
    <row r="25">
      <c r="A25" s="19" t="inlineStr">
        <is>
          <t xml:space="preserve">   - ZEISS Gruppe: Workday (inkl. cxs-JSON-Endpoint)</t>
        </is>
      </c>
    </row>
    <row r="26">
      <c r="A26" s="19" t="inlineStr">
        <is>
          <t xml:space="preserve">   - Mercedes-Benz Group AG, SAP SE, ZF Friedrichshafen AG, Porsche AG,</t>
        </is>
      </c>
    </row>
    <row r="27">
      <c r="A27" s="19" t="inlineStr">
        <is>
          <t xml:space="preserve">     dm-drogerie markt, EnBW: Corporate-Career-URL (+ Software, sofern verifiziert).</t>
        </is>
      </c>
    </row>
    <row r="28">
      <c r="A28" s="19" t="inlineStr">
        <is>
          <t xml:space="preserve">   Damit haben jetzt 18 der 367 Unternehmen Career-URLs (10 Original + 8 neu).</t>
        </is>
      </c>
    </row>
    <row r="29">
      <c r="A29" s="19" t="inlineStr"/>
    </row>
    <row r="30">
      <c r="A30" s="19" t="inlineStr">
        <is>
          <t xml:space="preserve">   WARUM NICHT ALLE 357? Jede korrekte Career-URL (v.a. der JSON-'code'-Endpoint)</t>
        </is>
      </c>
    </row>
    <row r="31">
      <c r="A31" s="19" t="inlineStr">
        <is>
          <t xml:space="preserve">   erfordert Einzelverifikation pro Firma - Portale lassen sich nicht zuverlässig 'raten',</t>
        </is>
      </c>
    </row>
    <row r="32">
      <c r="A32" s="19" t="inlineStr">
        <is>
          <t xml:space="preserve">   ohne tote/falsche Links zu erzeugen. Empfohlenes Vorgehen: weitere Batches à 20-30 Firmen.</t>
        </is>
      </c>
    </row>
    <row r="33">
      <c r="A33" s="19" t="inlineStr"/>
    </row>
    <row r="34">
      <c r="A34" s="19" t="inlineStr">
        <is>
          <t>B) 'DIE 500 GRÖSSTEN' - STATUS:</t>
        </is>
      </c>
    </row>
    <row r="35">
      <c r="A35" s="19" t="inlineStr">
        <is>
          <t xml:space="preserve">   Es existiert KEINE frei zugängliche, verifizierte Rangliste der Plätze ~368-500.</t>
        </is>
      </c>
    </row>
    <row r="36">
      <c r="A36" s="19" t="inlineStr">
        <is>
          <t xml:space="preserve">   Recherche-Ergebnis (25.08.2026): Frei verfügbare Quellen zeigen nur Top 10-50</t>
        </is>
      </c>
    </row>
    <row r="37">
      <c r="A37" s="19" t="inlineStr">
        <is>
          <t xml:space="preserve">   (z.B. listenchampion.de/Top-50, wer-zu-wem.de). Die einzige Liste der '1.000 größten</t>
        </is>
      </c>
    </row>
    <row r="38">
      <c r="A38" s="19" t="inlineStr">
        <is>
          <t xml:space="preserve">   Unternehmen BW' ist ein kommerzielles Produkt (Listenchampion, kostenpflichtig,</t>
        </is>
      </c>
    </row>
    <row r="39">
      <c r="A39" s="19" t="inlineStr">
        <is>
          <t xml:space="preserve">   Umsatz-/Mitarbeiterhistorie 2015-2023, manuell gepflegt).</t>
        </is>
      </c>
    </row>
    <row r="40">
      <c r="A40" s="19" t="inlineStr">
        <is>
          <t xml:space="preserve">   Die vorhandene Liste (~367) deckt bereits nahezu alle Firmen mit BW-Hauptsitz und</t>
        </is>
      </c>
    </row>
    <row r="41">
      <c r="A41" s="19" t="inlineStr">
        <is>
          <t xml:space="preserve">   &gt;1.000 Beschäftigten ab (offizielles IHK-Kriterium). Ein Auffüllen auf exakt 500 würde</t>
        </is>
      </c>
    </row>
    <row r="42">
      <c r="A42" s="19" t="inlineStr">
        <is>
          <t xml:space="preserve">   in den Bereich &lt;1.000 Beschäftigte reichen, wo frei verifizierbare Daten fehlen.</t>
        </is>
      </c>
    </row>
    <row r="43">
      <c r="A43" s="19" t="inlineStr">
        <is>
          <t xml:space="preserve">   -&gt; Es wurden bewusst KEINE unbelegten Firmen ergänzt, um die Datenqualität nicht zu senken.</t>
        </is>
      </c>
    </row>
    <row r="44">
      <c r="A44" s="19" t="inlineStr">
        <is>
          <t xml:space="preserve">   Optionen: (1) kommerzielle Liste (Listenchampion) einkaufen; (2) niedrigere Schwelle</t>
        </is>
      </c>
    </row>
    <row r="45">
      <c r="A45" s="19" t="inlineStr">
        <is>
          <t xml:space="preserve">   (z.B. &gt;500 Beschäftigte) mit Einzelrecherche akzeptieren.</t>
        </is>
      </c>
    </row>
    <row r="47">
      <c r="A47" s="19" t="inlineStr"/>
    </row>
    <row r="48">
      <c r="A48" s="19">
        <f>== BATCH 2 (25.08.2026) ===</f>
        <v/>
      </c>
    </row>
    <row r="49">
      <c r="A49" s="19" t="inlineStr">
        <is>
          <t>8 weitere Career-Links ergänzt (verifiziert): Schwarz Gruppe, Continental, Würth,</t>
        </is>
      </c>
    </row>
    <row r="50">
      <c r="A50" s="19" t="inlineStr">
        <is>
          <t>MAHLE, Freudenberg, DEKRA, EDEKA Südwest, HUGO BOSS.</t>
        </is>
      </c>
    </row>
    <row r="51">
      <c r="A51" s="19" t="inlineStr">
        <is>
          <t>Damit haben jetzt 26 von 367 Unternehmen Career-URLs (10 Original + 16 neu, Batch 1+2).</t>
        </is>
      </c>
    </row>
    <row r="52">
      <c r="A52" s="19" t="inlineStr">
        <is>
          <t>Fortsetzung in weiteren Batches möglich (nächste Kandidaten nach Mitarbeiterzahl:</t>
        </is>
      </c>
    </row>
    <row r="53">
      <c r="A53" s="19" t="inlineStr">
        <is>
          <t>Nokia, Schaeffler Bühl, Thales Deutschland, Aesculap/B.Braun, Boehringer Ingelheim,</t>
        </is>
      </c>
    </row>
    <row r="54">
      <c r="A54" s="19" t="inlineStr">
        <is>
          <t>Heidelberg Materials, Liebherr, PHOENIX group, Amcor Flexibles, KION, ...).</t>
        </is>
      </c>
    </row>
    <row r="56">
      <c r="A56" s="19" t="inlineStr"/>
    </row>
    <row r="57">
      <c r="A57" s="19">
        <f>== ERGEBNIS: PRÜFUNG "500+ MITARBEITENDE"-SCHWELLE (25.08.2026) ===</f>
        <v/>
      </c>
    </row>
    <row r="58">
      <c r="A58" s="19" t="inlineStr">
        <is>
          <t>Systematisch geprüft: IHK Region Stuttgart, IHK Karlsruhe, IHK Rhein-Neckar,</t>
        </is>
      </c>
    </row>
    <row r="59">
      <c r="A59" s="19" t="inlineStr">
        <is>
          <t>IHK Bodensee-Oberschwaben, IHK Ulm (5 von 12 IHK-Bezirken in BW).</t>
        </is>
      </c>
    </row>
    <row r="60">
      <c r="A60" s="19" t="inlineStr">
        <is>
          <t>Befund: ALLE IHK-Bezirke in BW verweisen ausnahmslos auf dieselbe eine landesweite</t>
        </is>
      </c>
    </row>
    <row r="61">
      <c r="A61" s="19" t="inlineStr">
        <is>
          <t>Publikation "Die größten Unternehmen in Baden-Württemberg" mit der Schwelle</t>
        </is>
      </c>
    </row>
    <row r="62">
      <c r="A62" s="19" t="inlineStr">
        <is>
          <t>&gt;=1.000 Arbeitsplätze ODER &gt;=500 Mio. EUR Umsatz (Banken: Bilanzsumme &gt;=5 Mrd. EUR,</t>
        </is>
      </c>
    </row>
    <row r="63">
      <c r="A63" s="19" t="inlineStr">
        <is>
          <t>Versicherungen: Beitragssumme &gt;=500 Mio. EUR). Das ist exakt die Quelle dieser Liste.</t>
        </is>
      </c>
    </row>
    <row r="64">
      <c r="A64" s="19" t="inlineStr">
        <is>
          <t>Anders als z.B. Rheinland-Pfalz oder Teile Niedersachsens (dort: separate</t>
        </is>
      </c>
    </row>
    <row r="65">
      <c r="A65" s="19" t="inlineStr">
        <is>
          <t>Kammerbezirks-Listen ab 500 Beschäftigten) gibt es in BW KEINE offizielle,</t>
        </is>
      </c>
    </row>
    <row r="66">
      <c r="A66" s="19" t="inlineStr">
        <is>
          <t>IHK-basierte "500+"-Publikation, weder landesweit noch je Kammerbezirk.</t>
        </is>
      </c>
    </row>
    <row r="67">
      <c r="A67" s="19" t="inlineStr"/>
    </row>
    <row r="68">
      <c r="A68" s="19" t="inlineStr">
        <is>
          <t>FAZIT: Eine belastbare, freie Ergänzung um Firmen mit 500-999 Beschäftigten ist</t>
        </is>
      </c>
    </row>
    <row r="69">
      <c r="A69" s="19" t="inlineStr">
        <is>
          <t>ohne kostenpflichtige Datenbank (z.B. Listenchampion, Bisnode, Northdata) oder</t>
        </is>
      </c>
    </row>
    <row r="70">
      <c r="A70" s="19" t="inlineStr">
        <is>
          <t>aufwändige Firmenbuch-/Bundesanzeiger-Einzelrecherche nicht seriös möglich.</t>
        </is>
      </c>
    </row>
    <row r="71">
      <c r="A71" s="19" t="inlineStr">
        <is>
          <t>Grobe Schätzung der Größenordnung: mehrere Hundert bis über 1.000 zusätzliche</t>
        </is>
      </c>
    </row>
    <row r="72">
      <c r="A72" s="19" t="inlineStr">
        <is>
          <t>Firmen mit BW-Hauptsitz und 500-999 Beschäftigten (typischer Mittelstandsbereich,</t>
        </is>
      </c>
    </row>
    <row r="73">
      <c r="A73" s="19" t="inlineStr">
        <is>
          <t>vgl. Formulierung IHK Bodensee-Oberschwaben). Keine belastbare Einzelquelle vorhanden</t>
        </is>
      </c>
    </row>
    <row r="74">
      <c r="A74" s="19" t="inlineStr">
        <is>
          <t>-&gt; bewusst NICHT durch Schätzwerte/unbelegte Firmen aufgefüllt.</t>
        </is>
      </c>
    </row>
    <row r="76">
      <c r="A76" s="19" t="inlineStr"/>
    </row>
    <row r="77">
      <c r="A77" s="19">
        <f>== ERGÄNZUNG: SELBSTAUSKÜNFTE-RECHERCHE AB 300 MITARBEITENDEN (25.08.2026) ===</f>
        <v/>
      </c>
    </row>
    <row r="78">
      <c r="A78" s="19" t="inlineStr">
        <is>
          <t>Auf Wunsch des Nutzers: gezielte Websuche nach Maschinenbau-, Technologie- und</t>
        </is>
      </c>
    </row>
    <row r="79">
      <c r="A79" s="19" t="inlineStr">
        <is>
          <t>Dienstleistungsunternehmen mit Sitz in BW und öffentlich kommunizierter Mitarbeiterzahl</t>
        </is>
      </c>
    </row>
    <row r="80">
      <c r="A80" s="19" t="inlineStr">
        <is>
          <t>ab 300 (Unternehmens-Websites, Stellenanzeigen, LinkedIn-Selbstauskünfte).</t>
        </is>
      </c>
    </row>
    <row r="81">
      <c r="A81" s="19" t="inlineStr">
        <is>
          <t>9 neue Firmen ergänzt (Zeilen 369-377), jeweils mit folgenden Quellen:</t>
        </is>
      </c>
    </row>
    <row r="82">
      <c r="A82" s="19" t="inlineStr">
        <is>
          <t>- Emil Schmid Maschinenbau: schmidgruppe.de ('über 300 Mitarbeiter:innen')</t>
        </is>
      </c>
    </row>
    <row r="83">
      <c r="A83" s="19" t="inlineStr">
        <is>
          <t>- Grüner Systemtechnik: LinkedIn/Stellenanzeigen ('mehr als 900 Mitarbeiter', 4 Standorte)</t>
        </is>
      </c>
    </row>
    <row r="84">
      <c r="A84" s="19" t="inlineStr">
        <is>
          <t>- Polytec GmbH: polytec.com/Stellenanzeigen ('fast 500 Mitarbeiter weltweit')</t>
        </is>
      </c>
    </row>
    <row r="85">
      <c r="A85" s="19" t="inlineStr">
        <is>
          <t>- Leadec Holding: leadec-services.com ('rund 22.500 Mitarbeitende weltweit', Konzernzahl)</t>
        </is>
      </c>
    </row>
    <row r="86">
      <c r="A86" s="19" t="inlineStr">
        <is>
          <t>- Würth Elektronik eiSos: we-online.com ('rund 7.300 Mitarbeitende weltweit', 2025)</t>
        </is>
      </c>
    </row>
    <row r="87">
      <c r="A87" s="19" t="inlineStr">
        <is>
          <t>- Precitec: Stellenanzeigen ('über 750 Mitarbeitende aus 28 Nationen')</t>
        </is>
      </c>
    </row>
    <row r="88">
      <c r="A88" s="19" t="inlineStr">
        <is>
          <t>- MPDV Mikrolab: mes-dach.de/LinkedIn ('rund 530 Mitarbeitende weltweit')</t>
        </is>
      </c>
    </row>
    <row r="89">
      <c r="A89" s="19" t="inlineStr">
        <is>
          <t>- KASTO Maschinenbau: Wikipedia (Mitarbeiterzahl 700 von ca. 2013 - NICHT aktuell verifiziert!)</t>
        </is>
      </c>
    </row>
    <row r="90">
      <c r="A90" s="19" t="inlineStr">
        <is>
          <t>- IT Baden-Württemberg (BITBW): usu.com-Kundenreferenz ('über 400 Mitarbeitern')</t>
        </is>
      </c>
    </row>
    <row r="91">
      <c r="A91" s="19" t="inlineStr"/>
    </row>
    <row r="92">
      <c r="A92" s="19" t="inlineStr">
        <is>
          <t>HINWEISE ZU DIESEM BATCH:</t>
        </is>
      </c>
    </row>
    <row r="93">
      <c r="A93" s="19" t="inlineStr">
        <is>
          <t>- Mitarbeiterzahlen sind Selbstauskünfte der Unternehmen, teils konzernweit (weltweit),</t>
        </is>
      </c>
    </row>
    <row r="94">
      <c r="A94" s="19" t="inlineStr">
        <is>
          <t xml:space="preserve">  nicht immer reine BW-Belegschaft - wie bei der Original-IHK-Liste auch. Bei Leadec</t>
        </is>
      </c>
    </row>
    <row r="95">
      <c r="A95" s="19" t="inlineStr">
        <is>
          <t xml:space="preserve">  und Würth Elektronik z.B. weltweite Konzernzahlen.</t>
        </is>
      </c>
    </row>
    <row r="96">
      <c r="A96" s="19" t="inlineStr">
        <is>
          <t>- KASTO Maschinenbau: Mitarbeiterzahl (700) stammt aus älterer Quelle (Wikipedia,</t>
        </is>
      </c>
    </row>
    <row r="97">
      <c r="A97" s="19" t="inlineStr">
        <is>
          <t xml:space="preserve">  Umsatzangabe von 2013) - vor Weiterverwendung empfohlen, Zahl über die</t>
        </is>
      </c>
    </row>
    <row r="98">
      <c r="A98" s="19" t="inlineStr">
        <is>
          <t xml:space="preserve">  Unternehmens-Website oder eine aktuelle Anfrage zu verifizieren.</t>
        </is>
      </c>
    </row>
    <row r="99">
      <c r="A99" s="19" t="inlineStr">
        <is>
          <t>- IT Baden-Württemberg (BITBW) ist ein Landesbetrieb (öffentlicher IT-Dienstleister),</t>
        </is>
      </c>
    </row>
    <row r="100">
      <c r="A100" s="19" t="inlineStr">
        <is>
          <t xml:space="preserve">  kein Wirtschaftsunternehmen im engeren Sinne - dennoch als Dienstleister mit BW-Sitz</t>
        </is>
      </c>
    </row>
    <row r="101">
      <c r="A101" s="19" t="inlineStr">
        <is>
          <t xml:space="preserve">  und &gt;400 Beschäftigten aufgenommen, da 'Dienstleistungsunternehmen' explizit als</t>
        </is>
      </c>
    </row>
    <row r="102">
      <c r="A102" s="19" t="inlineStr">
        <is>
          <t xml:space="preserve">  Fokus genannt wurde.</t>
        </is>
      </c>
    </row>
    <row r="103">
      <c r="A103" s="19" t="inlineStr">
        <is>
          <t>- Würth Elektronik eiSos ist eine eigenständige Gesellschaft der Würth-Gruppe (bereits</t>
        </is>
      </c>
    </row>
    <row r="104">
      <c r="A104" s="19" t="inlineStr">
        <is>
          <t xml:space="preserve">  als Gesamtkonzern in der Liste), aber mit eigenem Hauptsitz (Niedernhall) und</t>
        </is>
      </c>
    </row>
    <row r="105">
      <c r="A105" s="19" t="inlineStr">
        <is>
          <t xml:space="preserve">  eigener Mitarbeiterzahl - daher separat aufgeführt.</t>
        </is>
      </c>
    </row>
    <row r="106">
      <c r="A106" s="19" t="inlineStr">
        <is>
          <t>- Career-Software/-URLs für diese 9 Firmen wurden NICHT recherchiert (analog zu den</t>
        </is>
      </c>
    </row>
    <row r="107">
      <c r="A107" s="19" t="inlineStr">
        <is>
          <t xml:space="preserve">  anderen 357 Firmen) - können bei Bedarf in einem weiteren Batch ergänzt werden.</t>
        </is>
      </c>
    </row>
    <row r="108">
      <c r="A108" s="19" t="inlineStr">
        <is>
          <t>- Dies ist eine THEMATISCHE Stichprobe, keine vollständige/erschöpfende Erhebung.</t>
        </is>
      </c>
    </row>
    <row r="109">
      <c r="A109" s="19" t="inlineStr">
        <is>
          <t xml:space="preserve">  Der Bestand an BW-Firmen mit 300-999 Mitarbeitenden in diesen Branchen dürfte</t>
        </is>
      </c>
    </row>
    <row r="110">
      <c r="A110" s="19" t="inlineStr">
        <is>
          <t xml:space="preserve">  deutlich größer sein (siehe frühere Einschätzung: mehrere Hundert bis über 1.000).</t>
        </is>
      </c>
    </row>
    <row r="112">
      <c r="A112" s="19" t="inlineStr"/>
    </row>
    <row r="113">
      <c r="A113" s="19">
        <f>== BATCH 3 (25.08.2026) ===</f>
        <v/>
      </c>
    </row>
    <row r="114">
      <c r="A114" s="19" t="inlineStr">
        <is>
          <t>6 weitere Career-Links ergänzt (verifiziert): Deutsche Bahn, IBM, Michelin,</t>
        </is>
      </c>
    </row>
    <row r="115">
      <c r="A115" s="19" t="inlineStr">
        <is>
          <t>Daimler Truck, Boehringer Ingelheim, Firmengruppe Liebherr.</t>
        </is>
      </c>
    </row>
    <row r="116">
      <c r="A116" s="19" t="inlineStr">
        <is>
          <t>Damit haben jetzt 32 von 376 Unternehmen Career-URLs.</t>
        </is>
      </c>
    </row>
    <row r="118">
      <c r="A118" s="19" t="inlineStr"/>
    </row>
    <row r="119">
      <c r="A119" s="19">
        <f>== BATCH 4 (25.08.2026) ===</f>
        <v/>
      </c>
    </row>
    <row r="120">
      <c r="A120" s="19" t="inlineStr">
        <is>
          <t>9 weitere Career-Links ergänzt (verifiziert): Schaeffler, Nokia, Aesculap/B.Braun,</t>
        </is>
      </c>
    </row>
    <row r="121">
      <c r="A121" s="19" t="inlineStr">
        <is>
          <t>Heidelberg Materials, FESTO, SEW-EURODRIVE, STIHL, Kärcher, MANN+HUMMEL.</t>
        </is>
      </c>
    </row>
    <row r="123">
      <c r="A123" s="19" t="inlineStr"/>
    </row>
    <row r="124">
      <c r="A124" s="19">
        <f>== BATCH 5 (25.08.2026) ===</f>
        <v/>
      </c>
    </row>
    <row r="125">
      <c r="A125" s="19" t="inlineStr">
        <is>
          <t>7 weitere Career-Links ergänzt (verifiziert): CGI Deutschland, Thales Deutschland,</t>
        </is>
      </c>
    </row>
    <row r="126">
      <c r="A126" s="19" t="inlineStr">
        <is>
          <t>PHOENIX group, Bilfinger, Voith, Dürr, Bechtle.</t>
        </is>
      </c>
    </row>
    <row r="128">
      <c r="A128" s="19" t="inlineStr"/>
    </row>
    <row r="129">
      <c r="A129" s="19">
        <f>== BATCH 6 (25.08.2026) ===</f>
        <v/>
      </c>
    </row>
    <row r="130">
      <c r="A130" s="19" t="inlineStr">
        <is>
          <t>4 weitere Career-Links ergänzt (verifiziert): Essity, Roche Deutschland Holding,</t>
        </is>
      </c>
    </row>
    <row r="131">
      <c r="A131" s="19" t="inlineStr">
        <is>
          <t>Roche Diagnostics, ebm-papst. (Diakonie in Baden-Württemberg übersprungen: kein</t>
        </is>
      </c>
    </row>
    <row r="132">
      <c r="A132" s="19" t="inlineStr">
        <is>
          <t>einheitliches Career-Portal auffindbar, da Dachbegriff für viele eigenständige</t>
        </is>
      </c>
    </row>
    <row r="133">
      <c r="A133" s="19" t="inlineStr">
        <is>
          <t>diakonische Träger/Landesverbände ohne gemeinsame Bewerbungsplattform.)</t>
        </is>
      </c>
    </row>
    <row r="135">
      <c r="A135" s="19" t="inlineStr"/>
    </row>
    <row r="136">
      <c r="A136" s="19">
        <f>== BATCH 7 (25.08.2026) ===</f>
        <v/>
      </c>
    </row>
    <row r="137">
      <c r="A137" s="19" t="inlineStr">
        <is>
          <t>3 weitere: Südzucker, Bertrandt, Ed. Züblin.</t>
        </is>
      </c>
    </row>
    <row r="139">
      <c r="A139" s="19" t="inlineStr"/>
    </row>
    <row r="140">
      <c r="A140" s="19">
        <f>== BATCH 8 (25.08.2026) ===</f>
        <v/>
      </c>
    </row>
    <row r="141">
      <c r="A141" s="19" t="inlineStr">
        <is>
          <t>3 weitere: Agilent Technologies, KION Warehouse Systems, Daimler Buses.</t>
        </is>
      </c>
    </row>
    <row r="143">
      <c r="A143" s="19" t="inlineStr"/>
    </row>
    <row r="144">
      <c r="A144" s="19">
        <f>== BATCH 9 (25.08.2026) ===</f>
        <v/>
      </c>
    </row>
    <row r="145">
      <c r="A145" s="19" t="inlineStr">
        <is>
          <t>3 weitere: Marelli Germany, BAUHAUS, Amcor Flexibles Singen.</t>
        </is>
      </c>
    </row>
    <row r="147">
      <c r="A147" s="19" t="inlineStr"/>
    </row>
    <row r="148">
      <c r="A148" s="19">
        <f>== BATCH 10 (25.08.2026) ===</f>
        <v/>
      </c>
    </row>
    <row r="149">
      <c r="A149" s="19" t="inlineStr">
        <is>
          <t>5 weitere: ZF LIFETEC, SICK, Röchling, Eberspächer, Rheinmetall Automotive.</t>
        </is>
      </c>
    </row>
    <row r="151">
      <c r="A151" s="19" t="inlineStr"/>
    </row>
    <row r="152">
      <c r="A152" s="19">
        <f>== BATCH 11 (25.08.2026) ===</f>
        <v/>
      </c>
    </row>
    <row r="153">
      <c r="A153" s="19" t="inlineStr">
        <is>
          <t>3 weitere: GARDENA/Husqvarna, ABB, EY.</t>
        </is>
      </c>
    </row>
    <row r="154">
      <c r="A154" s="19" t="inlineStr">
        <is>
          <t>(Müller Holding übersprungen: kein zentrales eigenes Karriereportal auffindbar,</t>
        </is>
      </c>
    </row>
    <row r="155">
      <c r="A155" s="19" t="inlineStr">
        <is>
          <t>nur Stellenanzeigen über Drittportale wie Stepstone/Indeed.)</t>
        </is>
      </c>
    </row>
    <row r="157">
      <c r="A157" s="19" t="inlineStr"/>
    </row>
    <row r="158">
      <c r="A158" s="19">
        <f>== BATCH 12 (25.08.2026) ===</f>
        <v/>
      </c>
    </row>
    <row r="159">
      <c r="A159" s="19" t="inlineStr">
        <is>
          <t>2 weitere: Paul Hartmann, Rolls-Royce Power Systems.</t>
        </is>
      </c>
    </row>
    <row r="161">
      <c r="A161" s="19" t="inlineStr"/>
    </row>
    <row r="162">
      <c r="A162" s="19">
        <f>== BATCH 13 (25.08.2026) ===</f>
        <v/>
      </c>
    </row>
    <row r="163">
      <c r="A163" s="19" t="inlineStr">
        <is>
          <t>3 weitere: Geberit, LBBW, Marquardt.</t>
        </is>
      </c>
    </row>
    <row r="164">
      <c r="A164" s="19" t="inlineStr">
        <is>
          <t>(Prettl Unternehmensgruppe übersprungen: kein zentrales Konzern-Portal, nur</t>
        </is>
      </c>
    </row>
    <row r="165">
      <c r="A165" s="19" t="inlineStr">
        <is>
          <t>einzelne Tochtergesellschaften mit eigenen Stellenanzeigen.)</t>
        </is>
      </c>
    </row>
    <row r="167">
      <c r="A167" s="19" t="inlineStr"/>
    </row>
    <row r="168">
      <c r="A168" s="19">
        <f>== BATCH 14 (25.08.2026) ===</f>
        <v/>
      </c>
    </row>
    <row r="169">
      <c r="A169" s="19" t="inlineStr">
        <is>
          <t>3 weitere: Wieland-Werke, ElringKlinger, Groz-Beckert.</t>
        </is>
      </c>
    </row>
    <row r="171">
      <c r="A171" s="19" t="inlineStr"/>
    </row>
    <row r="172">
      <c r="A172" s="19">
        <f>== BATCH 15 (25.08.2026) ===</f>
        <v/>
      </c>
    </row>
    <row r="173">
      <c r="A173" s="19" t="inlineStr">
        <is>
          <t>3 weitere: Exyte, KARL STORZ, Ernst Klett/Klett Gruppe.</t>
        </is>
      </c>
    </row>
    <row r="175">
      <c r="A175" s="19" t="inlineStr"/>
    </row>
    <row r="176">
      <c r="A176" s="19">
        <f>== BATCH 16 (25.08.2026) ===</f>
        <v/>
      </c>
    </row>
    <row r="177">
      <c r="A177" s="19" t="inlineStr">
        <is>
          <t>3 weitere: Universitätsklinikum Tübingen, Zeppelin, Erwin Hymer Group.</t>
        </is>
      </c>
    </row>
    <row r="179">
      <c r="A179" s="19" t="inlineStr"/>
    </row>
    <row r="180">
      <c r="A180" s="19">
        <f>== BATCH 17 (25.08.2026) ===</f>
        <v/>
      </c>
    </row>
    <row r="181">
      <c r="A181" s="19" t="inlineStr">
        <is>
          <t>3 weitere: Hubert Burda Media, Häfele, Gühring.</t>
        </is>
      </c>
    </row>
    <row r="183">
      <c r="A183" s="19" t="inlineStr"/>
    </row>
    <row r="184">
      <c r="A184" s="19">
        <f>== BATCH 18 (25.08.2026) ===</f>
        <v/>
      </c>
    </row>
    <row r="185">
      <c r="A185" s="19" t="inlineStr">
        <is>
          <t>3 weitere: John Deere, BERNER Group, RKH Kliniken.</t>
        </is>
      </c>
    </row>
    <row r="187">
      <c r="A187" s="19" t="inlineStr"/>
    </row>
    <row r="188">
      <c r="A188" s="19">
        <f>== BATCH 19 (25.08.2026) ===</f>
        <v/>
      </c>
    </row>
    <row r="189">
      <c r="A189" s="19" t="inlineStr">
        <is>
          <t>2 weitere: GFT Technologies, Wüstenrot &amp; Württembergische.</t>
        </is>
      </c>
    </row>
    <row r="191">
      <c r="A191" s="19" t="inlineStr"/>
    </row>
    <row r="192">
      <c r="A192" s="19">
        <f>== BATCH 20 (25.08.2026) ===</f>
        <v/>
      </c>
    </row>
    <row r="193">
      <c r="A193" s="19" t="inlineStr">
        <is>
          <t>3 weitere: HOMAG Group, Würth Elektronik eiSos, Duravit.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Selina Schiek</dc:creator>
  <dc:language xmlns:dc="http://purl.org/dc/elements/1.1/">en-US</dc:language>
  <dcterms:created xmlns:dcterms="http://purl.org/dc/terms/" xmlns:xsi="http://www.w3.org/2001/XMLSchema-instance" xsi:type="dcterms:W3CDTF">2026-08-23T17:46:05Z</dcterms:created>
  <dcterms:modified xmlns:dcterms="http://purl.org/dc/terms/" xmlns:xsi="http://www.w3.org/2001/XMLSchema-instance" xsi:type="dcterms:W3CDTF">2026-08-26T16:18:53Z</dcterms:modified>
  <cp:lastModifiedBy>Schiek, Selina Maria</cp:lastModifiedBy>
  <cp:revision>0</cp:revision>
</cp:coreProperties>
</file>